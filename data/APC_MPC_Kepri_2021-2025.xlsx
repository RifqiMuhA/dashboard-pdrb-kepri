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uliah\STIS\Semester 6\5 - SNN\PROJECT\"/>
    </mc:Choice>
  </mc:AlternateContent>
  <xr:revisionPtr revIDLastSave="0" documentId="13_ncr:1_{9AD7FB53-2077-4620-9AD7-A24EE81A5318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APC-MPC Kepri" sheetId="1" r:id="rId1"/>
    <sheet name="Sheet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2" l="1"/>
  <c r="D2" i="2" s="1"/>
  <c r="E2" i="2" s="1"/>
  <c r="C5" i="2"/>
  <c r="B5" i="2"/>
  <c r="D5" i="2" s="1"/>
  <c r="E5" i="2" s="1"/>
  <c r="C4" i="2"/>
  <c r="B4" i="2"/>
  <c r="D4" i="2" s="1"/>
  <c r="E4" i="2" s="1"/>
  <c r="C3" i="2"/>
  <c r="B3" i="2"/>
  <c r="C2" i="2"/>
  <c r="D6" i="1"/>
  <c r="E6" i="1" s="1"/>
  <c r="D5" i="1"/>
  <c r="E5" i="1" s="1"/>
  <c r="D4" i="1"/>
  <c r="E4" i="1" s="1"/>
  <c r="D3" i="1"/>
  <c r="E3" i="1" s="1"/>
  <c r="D2" i="1"/>
  <c r="E2" i="1" s="1"/>
  <c r="D3" i="2" l="1"/>
  <c r="E3" i="2" s="1"/>
</calcChain>
</file>

<file path=xl/sharedStrings.xml><?xml version="1.0" encoding="utf-8"?>
<sst xmlns="http://schemas.openxmlformats.org/spreadsheetml/2006/main" count="17" uniqueCount="17">
  <si>
    <t>Tahun</t>
  </si>
  <si>
    <t>PDRB / Yd (miliar Rp)</t>
  </si>
  <si>
    <t>Konsumsi RT / C (miliar Rp)</t>
  </si>
  <si>
    <t>APC (=C/Yd)</t>
  </si>
  <si>
    <t>APS (=1-APC)</t>
  </si>
  <si>
    <t>2021</t>
  </si>
  <si>
    <t>2022</t>
  </si>
  <si>
    <t>2023</t>
  </si>
  <si>
    <t>Periode</t>
  </si>
  <si>
    <t>delta C (miliar Rp)</t>
  </si>
  <si>
    <t>delta Yd (miliar Rp)</t>
  </si>
  <si>
    <t>MPC (=dC/dYd)</t>
  </si>
  <si>
    <t>MPS (=1-MPC)</t>
  </si>
  <si>
    <t>2021 -&gt; 2022</t>
  </si>
  <si>
    <t>2022 -&gt; 2023</t>
  </si>
  <si>
    <t>2023 -&gt; 2024</t>
  </si>
  <si>
    <t>2024 -&gt;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</si>
</sst>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sz val="10"/>
      <name val="Arial"/>
      <family val="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3" fillId="0" borderId="0" xfId="0" applyFont="1" applyFill="1"/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Normal="100" workbookViewId="0">
      <selection activeCell="C19" sqref="C19"/>
    </sheetView>
  </sheetViews>
  <sheetFormatPr defaultColWidth="8.6640625" defaultRowHeight="14.4" x14ac:dyDescent="0.3"/>
  <cols>
    <col min="1" max="1" width="12.6640625" bestFit="1" customWidth="1"/>
    <col min="2" max="2" width="22" customWidth="1"/>
    <col min="3" max="3" width="24" customWidth="1"/>
    <col min="4" max="4" width="16" customWidth="1"/>
    <col min="5" max="5" width="14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5">
        <v>275622.84999999998</v>
      </c>
      <c r="C2" s="5">
        <v>111996.07</v>
      </c>
      <c r="D2" s="6">
        <f>C2/B2</f>
        <v>0.40633811746740162</v>
      </c>
      <c r="E2" s="6">
        <f>1-D2</f>
        <v>0.59366188253259833</v>
      </c>
    </row>
    <row r="3" spans="1:5" x14ac:dyDescent="0.3">
      <c r="A3" s="4" t="s">
        <v>6</v>
      </c>
      <c r="B3" s="5">
        <v>308739.71999999997</v>
      </c>
      <c r="C3" s="5">
        <v>124875.52</v>
      </c>
      <c r="D3" s="6">
        <f>C3/B3</f>
        <v>0.40446859250892636</v>
      </c>
      <c r="E3" s="6">
        <f>1-D3</f>
        <v>0.59553140749107358</v>
      </c>
    </row>
    <row r="4" spans="1:5" x14ac:dyDescent="0.3">
      <c r="A4" s="4" t="s">
        <v>7</v>
      </c>
      <c r="B4" s="5">
        <v>331644.52</v>
      </c>
      <c r="C4" s="5">
        <v>136652.57999999999</v>
      </c>
      <c r="D4" s="6">
        <f>C4/B4</f>
        <v>0.41204534300762752</v>
      </c>
      <c r="E4" s="6">
        <f>1-D4</f>
        <v>0.58795465699237248</v>
      </c>
    </row>
    <row r="5" spans="1:5" x14ac:dyDescent="0.3">
      <c r="A5" s="4">
        <v>2024</v>
      </c>
      <c r="B5" s="5">
        <v>352436.43</v>
      </c>
      <c r="C5" s="5">
        <v>147944.45000000001</v>
      </c>
      <c r="D5" s="6">
        <f>C5/B5</f>
        <v>0.41977627000704781</v>
      </c>
      <c r="E5" s="6">
        <f>1-D5</f>
        <v>0.58022372999295224</v>
      </c>
    </row>
    <row r="6" spans="1:5" x14ac:dyDescent="0.3">
      <c r="A6" s="4">
        <v>2025</v>
      </c>
      <c r="B6" s="5">
        <v>381729.88</v>
      </c>
      <c r="C6" s="5">
        <v>158023.76</v>
      </c>
      <c r="D6" s="6">
        <f>C6/B6</f>
        <v>0.41396748926230248</v>
      </c>
      <c r="E6" s="6">
        <f>1-D6</f>
        <v>0.58603251073769758</v>
      </c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B179-448E-4F6A-918E-1CA79CDDB467}">
  <dimension ref="A1:O5"/>
  <sheetViews>
    <sheetView workbookViewId="0">
      <selection activeCell="F6" sqref="F6"/>
    </sheetView>
  </sheetViews>
  <sheetFormatPr defaultRowHeight="14.4" x14ac:dyDescent="0.3"/>
  <cols>
    <col min="1" max="1" width="12.6640625" bestFit="1" customWidth="1"/>
    <col min="2" max="3" width="9.44140625" bestFit="1" customWidth="1"/>
    <col min="4" max="4" width="9.6640625" customWidth="1"/>
    <col min="5" max="5" width="9.33203125" customWidth="1"/>
    <col min="12" max="12" width="8.88671875" customWidth="1"/>
  </cols>
  <sheetData>
    <row r="1" spans="1:15" ht="26.4" x14ac:dyDescent="0.3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H1" s="12"/>
      <c r="I1" s="12"/>
      <c r="J1" s="12"/>
      <c r="K1" s="12"/>
      <c r="L1" s="12"/>
    </row>
    <row r="2" spans="1:15" x14ac:dyDescent="0.3">
      <c r="A2" s="7" t="s">
        <v>13</v>
      </c>
      <c r="B2" s="8">
        <f>'APC-MPC Kepri'!C3-'APC-MPC Kepri'!C2</f>
        <v>12879.449999999997</v>
      </c>
      <c r="C2" s="8">
        <f>'APC-MPC Kepri'!B3-'APC-MPC Kepri'!B2</f>
        <v>33116.869999999995</v>
      </c>
      <c r="D2" s="9">
        <f>B2/C2</f>
        <v>0.38890903639142221</v>
      </c>
      <c r="E2" s="9">
        <f>1-D2</f>
        <v>0.61109096360857773</v>
      </c>
      <c r="H2" s="11"/>
      <c r="I2" s="11"/>
      <c r="J2" s="11"/>
      <c r="K2" s="11"/>
      <c r="L2" s="11"/>
      <c r="M2" s="11"/>
      <c r="N2" s="11"/>
      <c r="O2" s="11"/>
    </row>
    <row r="3" spans="1:15" x14ac:dyDescent="0.3">
      <c r="A3" s="7" t="s">
        <v>14</v>
      </c>
      <c r="B3" s="8">
        <f>'APC-MPC Kepri'!C4-'APC-MPC Kepri'!C3</f>
        <v>11777.059999999983</v>
      </c>
      <c r="C3" s="8">
        <f>'APC-MPC Kepri'!B4-'APC-MPC Kepri'!B3</f>
        <v>22904.800000000047</v>
      </c>
      <c r="D3" s="9">
        <f>B3/C3</f>
        <v>0.5141743215395882</v>
      </c>
      <c r="E3" s="9">
        <f>1-D3</f>
        <v>0.4858256784604118</v>
      </c>
      <c r="H3" s="11"/>
      <c r="I3" s="11"/>
      <c r="J3" s="11"/>
      <c r="K3" s="11"/>
      <c r="L3" s="11"/>
    </row>
    <row r="4" spans="1:15" x14ac:dyDescent="0.3">
      <c r="A4" s="7" t="s">
        <v>15</v>
      </c>
      <c r="B4" s="8">
        <f>'APC-MPC Kepri'!C5-'APC-MPC Kepri'!C4</f>
        <v>11291.870000000024</v>
      </c>
      <c r="C4" s="8">
        <f>'APC-MPC Kepri'!B5-'APC-MPC Kepri'!B4</f>
        <v>20791.909999999974</v>
      </c>
      <c r="D4" s="9">
        <f>B4/C4</f>
        <v>0.54308959590533235</v>
      </c>
      <c r="E4" s="9">
        <f>1-D4</f>
        <v>0.45691040409466765</v>
      </c>
      <c r="H4" s="11"/>
      <c r="I4" s="11"/>
      <c r="J4" s="11"/>
      <c r="K4" s="11"/>
      <c r="L4" s="11"/>
    </row>
    <row r="5" spans="1:15" x14ac:dyDescent="0.3">
      <c r="A5" s="7" t="s">
        <v>16</v>
      </c>
      <c r="B5" s="8">
        <f>'APC-MPC Kepri'!C6-'APC-MPC Kepri'!C5</f>
        <v>10079.309999999998</v>
      </c>
      <c r="C5" s="8">
        <f>'APC-MPC Kepri'!B6-'APC-MPC Kepri'!B5</f>
        <v>29293.450000000012</v>
      </c>
      <c r="D5" s="9">
        <f>B5/C5</f>
        <v>0.34408067332458259</v>
      </c>
      <c r="E5" s="9">
        <f>1-D5</f>
        <v>0.65591932667541741</v>
      </c>
      <c r="H5" s="11"/>
      <c r="I5" s="11"/>
      <c r="J5" s="11"/>
      <c r="K5" s="11"/>
      <c r="L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APC-MPC Kepri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rifqisibuk01</cp:lastModifiedBy>
  <cp:revision>0</cp:revision>
  <dcterms:created xsi:type="dcterms:W3CDTF">2026-09-14T12:19:03Z</dcterms:created>
  <dcterms:modified xsi:type="dcterms:W3CDTF">2026-09-14T12:24:11Z</dcterms:modified>
  <dc:language>en-US</dc:language>
</cp:coreProperties>
</file>