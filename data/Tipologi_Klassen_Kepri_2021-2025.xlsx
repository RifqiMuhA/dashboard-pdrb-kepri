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Dulu" sheetId="1" state="visible" r:id="rId3"/>
    <sheet name="1. Data PDRB ADHK" sheetId="2" state="visible" r:id="rId4"/>
    <sheet name="2. Data Penduduk" sheetId="3" state="visible" r:id="rId5"/>
    <sheet name="3. Total PDRB &amp; Per Kapita" sheetId="4" state="visible" r:id="rId6"/>
    <sheet name="4. Laju Pertumbuhan" sheetId="5" state="visible" r:id="rId7"/>
    <sheet name="5. Tipologi Klass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<sst xmlns="http://schemas.openxmlformats.org/spreadsheetml/2006/main" count="499" uniqueCount="85">
  <si>
    <t xml:space="preserve">Analisis Tipologi Klassen — Kabupaten/Kota Provinsi Kepulauan Riau</t>
  </si>
  <si>
    <t xml:space="preserve">Isi Workbook</t>
  </si>
  <si>
    <t xml:space="preserve">1. Data PDRB ADHK</t>
  </si>
  <si>
    <t xml:space="preserve">Data mentah PDRB Atas Dasar Harga Konstan 2010 per 17 lapangan usaha, per kabupaten/kota, 2020-2025 (input asli dari file CSV kamu).</t>
  </si>
  <si>
    <t xml:space="preserve">2. Data Penduduk</t>
  </si>
  <si>
    <t xml:space="preserve">Jumlah penduduk pertengahan tahun per kabupaten/kota, 2020-2025 (sumber: BPS Kepri, Proyeksi Penduduk Kab/Kota Kepri 2020-2035 Hasil SP2020).</t>
  </si>
  <si>
    <t xml:space="preserve">3. Total PDRB &amp; Per Kapita</t>
  </si>
  <si>
    <t xml:space="preserve">Total PDRB tiap kab/kota (jumlah 17 sektor) dan PDRB per kapita, dihitung otomatis pakai rumus dari sheet 1 &amp; 2.</t>
  </si>
  <si>
    <t xml:space="preserve">4. Laju Pertumbuhan</t>
  </si>
  <si>
    <t xml:space="preserve">Laju pertumbuhan ekonomi tahunan tiap kab/kota (2021-2025), dihitung dari sheet 3.</t>
  </si>
  <si>
    <t xml:space="preserve">5. Tipologi Klassen</t>
  </si>
  <si>
    <t xml:space="preserve">Klasifikasi 4 kuadran tiap kab/kota per tahun, dibandingkan dengan rata-rata Provinsi Kepri. Ini hasil akhirnya.</t>
  </si>
  <si>
    <t xml:space="preserve">Semua angka PDRB dalam MILIAR RUPIAH. Semua angka penduduk dalam RIBU JIWA.</t>
  </si>
  <si>
    <t xml:space="preserve">Cara baca kuadran Klassen:</t>
  </si>
  <si>
    <t xml:space="preserve">Kuadran I  - Maju &amp; Tumbuh Cepat   : PDRB per kapita &gt; provinsi, DAN pertumbuhan &gt; provinsi</t>
  </si>
  <si>
    <t xml:space="preserve">Kuadran II - Maju tapi Tertekan    : PDRB per kapita &gt; provinsi, TAPI pertumbuhan &lt; provinsi</t>
  </si>
  <si>
    <t xml:space="preserve">Kuadran III- Relatif Tertinggal    : PDRB per kapita &lt; provinsi, DAN pertumbuhan &lt; provinsi</t>
  </si>
  <si>
    <t xml:space="preserve">Kuadran IV - Berkembang Cepat      : PDRB per kapita &lt; provinsi, TAPI pertumbuhan &gt; provinsi</t>
  </si>
  <si>
    <t xml:space="preserve">Kabupaten_Kota</t>
  </si>
  <si>
    <t xml:space="preserve">No</t>
  </si>
  <si>
    <t xml:space="preserve">Kode</t>
  </si>
  <si>
    <t xml:space="preserve">Lapangan_Usaha</t>
  </si>
  <si>
    <t xml:space="preserve">Kabupaten Karimun</t>
  </si>
  <si>
    <t xml:space="preserve">A</t>
  </si>
  <si>
    <t xml:space="preserve">Pertanian, Kehutanan, dan Perikanan</t>
  </si>
  <si>
    <t xml:space="preserve">B</t>
  </si>
  <si>
    <t xml:space="preserve">Pertambangan dan Penggalian</t>
  </si>
  <si>
    <t xml:space="preserve">C</t>
  </si>
  <si>
    <t xml:space="preserve">Industri Pengolahan</t>
  </si>
  <si>
    <t xml:space="preserve">D</t>
  </si>
  <si>
    <t xml:space="preserve">Pengadaan Listrik dan Gas</t>
  </si>
  <si>
    <t xml:space="preserve">E</t>
  </si>
  <si>
    <t xml:space="preserve">Pengadaan Air, Pengelolaan Sampah, Limbah dan Daur Ulang</t>
  </si>
  <si>
    <t xml:space="preserve">F</t>
  </si>
  <si>
    <t xml:space="preserve">Konstruksi</t>
  </si>
  <si>
    <t xml:space="preserve">G</t>
  </si>
  <si>
    <t xml:space="preserve">Perdagangan Besar dan Eceran dan Reparasi Mobil dan Sepeda Motor</t>
  </si>
  <si>
    <t xml:space="preserve">H</t>
  </si>
  <si>
    <t xml:space="preserve">Transportasi dan Pergudangan</t>
  </si>
  <si>
    <t xml:space="preserve">I</t>
  </si>
  <si>
    <t xml:space="preserve">Penyediaan Akomodasi dan Makan Minum</t>
  </si>
  <si>
    <t xml:space="preserve">J</t>
  </si>
  <si>
    <t xml:space="preserve">Informasi dan Komunikasi</t>
  </si>
  <si>
    <t xml:space="preserve">K</t>
  </si>
  <si>
    <t xml:space="preserve">Jasa Keuangan dan Asuransi</t>
  </si>
  <si>
    <t xml:space="preserve">L</t>
  </si>
  <si>
    <t xml:space="preserve">Real Estat</t>
  </si>
  <si>
    <t xml:space="preserve">M,N</t>
  </si>
  <si>
    <t xml:space="preserve">Jasa Perusahaan</t>
  </si>
  <si>
    <t xml:space="preserve">O</t>
  </si>
  <si>
    <t xml:space="preserve">Administrasi Pemerintahan, Pertahanan dan Jaminan Sosial Wajib</t>
  </si>
  <si>
    <t xml:space="preserve">P</t>
  </si>
  <si>
    <t xml:space="preserve">Jasa Pendidikan</t>
  </si>
  <si>
    <t xml:space="preserve">Q</t>
  </si>
  <si>
    <t xml:space="preserve">Jasa Kesehatan dan Kegiatan Sosial</t>
  </si>
  <si>
    <t xml:space="preserve">R,S,T,U</t>
  </si>
  <si>
    <t xml:space="preserve">Jasa Lainnya</t>
  </si>
  <si>
    <t xml:space="preserve">Kabupaten Bintan</t>
  </si>
  <si>
    <t xml:space="preserve">Kabupaten Natuna</t>
  </si>
  <si>
    <t xml:space="preserve">Kabupaten Lingga</t>
  </si>
  <si>
    <t xml:space="preserve">Kabupaten Kepulauan Anambas</t>
  </si>
  <si>
    <t xml:space="preserve">Kota Batam</t>
  </si>
  <si>
    <t xml:space="preserve">Kota Tanjungpinang</t>
  </si>
  <si>
    <t xml:space="preserve">Satuan: Miliar Rupiah. Sumber: PDRB Kabupaten/Kota Provinsi Kepulauan Riau Menurut Lapangan Usaha 2020-2025 (BPS).</t>
  </si>
  <si>
    <t xml:space="preserve">Provinsi Kepulauan Riau</t>
  </si>
  <si>
    <t xml:space="preserve">Satuan: Ribu jiwa (proyeksi pertengahan tahun/Juni). Sumber: BPS Kepri - Proyeksi Penduduk Kab/Kota Kepri 2020-2035 Hasil Sensus Penduduk 2020.</t>
  </si>
  <si>
    <t xml:space="preserve">Kabupaten/Kota</t>
  </si>
  <si>
    <t xml:space="preserve">Komponen</t>
  </si>
  <si>
    <t xml:space="preserve">Total PDRB (Miliar Rp)</t>
  </si>
  <si>
    <t xml:space="preserve">Penduduk (Ribu Jiwa)</t>
  </si>
  <si>
    <t xml:space="preserve">PDRB per Kapita (Juta Rp)</t>
  </si>
  <si>
    <t xml:space="preserve">Laju Pertumbuhan(t) = (PDRB ADHK(t) - PDRB ADHK(t-1)) / PDRB ADHK(t-1). 2020 tidak punya nilai growth (tidak ada data 2019 sebagai basis).</t>
  </si>
  <si>
    <t xml:space="preserve">Tahun</t>
  </si>
  <si>
    <t xml:space="preserve">PDRB per Kapita
(Juta Rp)</t>
  </si>
  <si>
    <t xml:space="preserve">Pertumbuhan
Ekonomi (%)</t>
  </si>
  <si>
    <t xml:space="preserve">PDRB per Kapita
Provinsi (Juta Rp)</t>
  </si>
  <si>
    <t xml:space="preserve">Pertumbuhan
Provinsi (%)</t>
  </si>
  <si>
    <t xml:space="preserve">Kategori
Per Kapita</t>
  </si>
  <si>
    <t xml:space="preserve">Kategori
Pertumbuhan</t>
  </si>
  <si>
    <t xml:space="preserve">KUADRAN</t>
  </si>
  <si>
    <t xml:space="preserve">Logika Kuadran:</t>
  </si>
  <si>
    <t xml:space="preserve">Kuadran I  (hijau)  - Maju &amp; Tumbuh Cepat : PDRB per kapita &gt;= provinsi, DAN pertumbuhan &gt;= provinsi</t>
  </si>
  <si>
    <t xml:space="preserve">Kuadran II (kuning) - Maju tapi Tertekan  : PDRB per kapita &gt;= provinsi, TAPI pertumbuhan &lt; provinsi</t>
  </si>
  <si>
    <t xml:space="preserve">Kuadran III(merah)  - Relatif Tertinggal  : PDRB per kapita &lt; provinsi, DAN pertumbuhan &lt; provinsi</t>
  </si>
  <si>
    <t xml:space="preserve">Kuadran IV (biru)   - Berkembang Cepat    : PDRB per kapita &lt; provinsi, TAPI pertumbuhan &gt;= provinsi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</si>
</sst>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EB9C"/>
      </patternFill>
    </fill>
    <fill>
      <patternFill patternType="solid">
        <fgColor rgb="FFEAF1D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FFE69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true" outlineLevel="0" collapsed="false">
      <c r="B7" s="4" t="s">
        <v>3</v>
      </c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B9" s="3" t="s">
        <v>4</v>
      </c>
    </row>
    <row r="10" customFormat="false" ht="23.85" hidden="false" customHeight="true" outlineLevel="0" collapsed="false">
      <c r="B10" s="4" t="s">
        <v>5</v>
      </c>
      <c r="C10" s="4"/>
      <c r="D10" s="4"/>
      <c r="E10" s="4"/>
      <c r="F10" s="4"/>
      <c r="G10" s="4"/>
      <c r="H10" s="4"/>
    </row>
    <row r="12" customFormat="false" ht="15" hidden="false" customHeight="false" outlineLevel="0" collapsed="false">
      <c r="B12" s="3" t="s">
        <v>6</v>
      </c>
    </row>
    <row r="13" customFormat="false" ht="15" hidden="false" customHeight="true" outlineLevel="0" collapsed="false">
      <c r="B13" s="4" t="s">
        <v>7</v>
      </c>
      <c r="C13" s="4"/>
      <c r="D13" s="4"/>
      <c r="E13" s="4"/>
      <c r="F13" s="4"/>
      <c r="G13" s="4"/>
      <c r="H13" s="4"/>
    </row>
    <row r="15" customFormat="false" ht="15" hidden="false" customHeight="false" outlineLevel="0" collapsed="false">
      <c r="B15" s="3" t="s">
        <v>8</v>
      </c>
    </row>
    <row r="16" customFormat="false" ht="15" hidden="false" customHeight="true" outlineLevel="0" collapsed="false">
      <c r="B16" s="4" t="s">
        <v>9</v>
      </c>
      <c r="C16" s="4"/>
      <c r="D16" s="4"/>
      <c r="E16" s="4"/>
      <c r="F16" s="4"/>
      <c r="G16" s="4"/>
      <c r="H16" s="4"/>
    </row>
    <row r="18" customFormat="false" ht="15" hidden="false" customHeight="false" outlineLevel="0" collapsed="false">
      <c r="B18" s="3" t="s">
        <v>10</v>
      </c>
    </row>
    <row r="19" customFormat="false" ht="15" hidden="false" customHeight="true" outlineLevel="0" collapsed="false">
      <c r="B19" s="4" t="s">
        <v>11</v>
      </c>
      <c r="C19" s="4"/>
      <c r="D19" s="4"/>
      <c r="E19" s="4"/>
      <c r="F19" s="4"/>
      <c r="G19" s="4"/>
      <c r="H19" s="4"/>
    </row>
    <row r="22" customFormat="false" ht="15" hidden="false" customHeight="false" outlineLevel="0" collapsed="false">
      <c r="B22" s="5" t="s">
        <v>12</v>
      </c>
    </row>
    <row r="24" customFormat="false" ht="15" hidden="false" customHeight="false" outlineLevel="0" collapsed="false">
      <c r="B24" s="3" t="s">
        <v>13</v>
      </c>
    </row>
    <row r="25" customFormat="false" ht="15" hidden="false" customHeight="false" outlineLevel="0" collapsed="false">
      <c r="B25" s="6" t="s">
        <v>14</v>
      </c>
    </row>
    <row r="26" customFormat="false" ht="15" hidden="false" customHeight="false" outlineLevel="0" collapsed="false">
      <c r="B26" s="6" t="s">
        <v>15</v>
      </c>
    </row>
    <row r="27" customFormat="false" ht="15" hidden="false" customHeight="false" outlineLevel="0" collapsed="false">
      <c r="B27" s="6" t="s">
        <v>16</v>
      </c>
    </row>
    <row r="28" customFormat="false" ht="15" hidden="false" customHeight="false" outlineLevel="0" collapsed="false">
      <c r="B28" s="6" t="s">
        <v>17</v>
      </c>
    </row>
  </sheetData>
  <mergeCells count="5">
    <mergeCell ref="B7:H7"/>
    <mergeCell ref="B10:H10"/>
    <mergeCell ref="B13:H13"/>
    <mergeCell ref="B16:H16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48"/>
    <col collapsed="false" customWidth="true" hidden="false" outlineLevel="0" max="10" min="5" style="0" width="11"/>
  </cols>
  <sheetData>
    <row r="1" customFormat="false" ht="15" hidden="false" customHeight="fals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n">
        <v>2020</v>
      </c>
      <c r="F1" s="7" t="n">
        <v>2021</v>
      </c>
      <c r="G1" s="7" t="n">
        <v>2022</v>
      </c>
      <c r="H1" s="7" t="n">
        <v>2023</v>
      </c>
      <c r="I1" s="7" t="n">
        <v>2024</v>
      </c>
      <c r="J1" s="7" t="n">
        <v>2025</v>
      </c>
    </row>
    <row r="2" customFormat="false" ht="15" hidden="false" customHeight="false" outlineLevel="0" collapsed="false">
      <c r="A2" s="8" t="s">
        <v>22</v>
      </c>
      <c r="B2" s="8" t="n">
        <v>1</v>
      </c>
      <c r="C2" s="8" t="s">
        <v>23</v>
      </c>
      <c r="D2" s="8" t="s">
        <v>24</v>
      </c>
      <c r="E2" s="9" t="n">
        <v>1532.48</v>
      </c>
      <c r="F2" s="9" t="n">
        <v>1473.45</v>
      </c>
      <c r="G2" s="9" t="n">
        <v>1503.41</v>
      </c>
      <c r="H2" s="9" t="n">
        <v>1552.78</v>
      </c>
      <c r="I2" s="9" t="n">
        <v>1586.94</v>
      </c>
      <c r="J2" s="9" t="n">
        <v>1640.89</v>
      </c>
    </row>
    <row r="3" customFormat="false" ht="15" hidden="false" customHeight="false" outlineLevel="0" collapsed="false">
      <c r="A3" s="8" t="s">
        <v>22</v>
      </c>
      <c r="B3" s="8" t="n">
        <v>2</v>
      </c>
      <c r="C3" s="8" t="s">
        <v>25</v>
      </c>
      <c r="D3" s="8" t="s">
        <v>26</v>
      </c>
      <c r="E3" s="9" t="n">
        <v>877.74</v>
      </c>
      <c r="F3" s="9" t="n">
        <v>1010.73</v>
      </c>
      <c r="G3" s="9" t="n">
        <v>975.93</v>
      </c>
      <c r="H3" s="9" t="n">
        <v>955.9</v>
      </c>
      <c r="I3" s="9" t="n">
        <v>936.78</v>
      </c>
      <c r="J3" s="9" t="n">
        <v>974.25</v>
      </c>
    </row>
    <row r="4" customFormat="false" ht="15" hidden="false" customHeight="false" outlineLevel="0" collapsed="false">
      <c r="A4" s="8" t="s">
        <v>22</v>
      </c>
      <c r="B4" s="8" t="n">
        <v>3</v>
      </c>
      <c r="C4" s="8" t="s">
        <v>27</v>
      </c>
      <c r="D4" s="8" t="s">
        <v>28</v>
      </c>
      <c r="E4" s="9" t="n">
        <v>1213.98</v>
      </c>
      <c r="F4" s="9" t="n">
        <v>1235.09</v>
      </c>
      <c r="G4" s="9" t="n">
        <v>1269.55</v>
      </c>
      <c r="H4" s="9" t="n">
        <v>1366.48</v>
      </c>
      <c r="I4" s="9" t="n">
        <v>1724.91</v>
      </c>
      <c r="J4" s="9" t="n">
        <v>1931.9</v>
      </c>
    </row>
    <row r="5" customFormat="false" ht="15" hidden="false" customHeight="false" outlineLevel="0" collapsed="false">
      <c r="A5" s="8" t="s">
        <v>22</v>
      </c>
      <c r="B5" s="8" t="n">
        <v>4</v>
      </c>
      <c r="C5" s="8" t="s">
        <v>29</v>
      </c>
      <c r="D5" s="8" t="s">
        <v>30</v>
      </c>
      <c r="E5" s="9" t="n">
        <v>28.48</v>
      </c>
      <c r="F5" s="9" t="n">
        <v>28.53</v>
      </c>
      <c r="G5" s="9" t="n">
        <v>31.52</v>
      </c>
      <c r="H5" s="9" t="n">
        <v>35</v>
      </c>
      <c r="I5" s="9" t="n">
        <v>38.37</v>
      </c>
      <c r="J5" s="9" t="n">
        <v>42.2</v>
      </c>
    </row>
    <row r="6" customFormat="false" ht="15" hidden="false" customHeight="false" outlineLevel="0" collapsed="false">
      <c r="A6" s="8" t="s">
        <v>22</v>
      </c>
      <c r="B6" s="8" t="n">
        <v>5</v>
      </c>
      <c r="C6" s="8" t="s">
        <v>31</v>
      </c>
      <c r="D6" s="8" t="s">
        <v>32</v>
      </c>
      <c r="E6" s="9" t="n">
        <v>4.15</v>
      </c>
      <c r="F6" s="9" t="n">
        <v>4.15</v>
      </c>
      <c r="G6" s="9" t="n">
        <v>4.37</v>
      </c>
      <c r="H6" s="9" t="n">
        <v>4.4</v>
      </c>
      <c r="I6" s="9" t="n">
        <v>4.53</v>
      </c>
      <c r="J6" s="9" t="n">
        <v>4.8</v>
      </c>
    </row>
    <row r="7" customFormat="false" ht="15" hidden="false" customHeight="false" outlineLevel="0" collapsed="false">
      <c r="A7" s="8" t="s">
        <v>22</v>
      </c>
      <c r="B7" s="8" t="n">
        <v>6</v>
      </c>
      <c r="C7" s="8" t="s">
        <v>33</v>
      </c>
      <c r="D7" s="8" t="s">
        <v>34</v>
      </c>
      <c r="E7" s="9" t="n">
        <v>1742.8</v>
      </c>
      <c r="F7" s="9" t="n">
        <v>1852.57</v>
      </c>
      <c r="G7" s="9" t="n">
        <v>1923.17</v>
      </c>
      <c r="H7" s="9" t="n">
        <v>1958.48</v>
      </c>
      <c r="I7" s="9" t="n">
        <v>2062.28</v>
      </c>
      <c r="J7" s="9" t="n">
        <v>2175.7</v>
      </c>
    </row>
    <row r="8" customFormat="false" ht="15" hidden="false" customHeight="false" outlineLevel="0" collapsed="false">
      <c r="A8" s="8" t="s">
        <v>22</v>
      </c>
      <c r="B8" s="8" t="n">
        <v>7</v>
      </c>
      <c r="C8" s="8" t="s">
        <v>35</v>
      </c>
      <c r="D8" s="8" t="s">
        <v>36</v>
      </c>
      <c r="E8" s="9" t="n">
        <v>1521.72</v>
      </c>
      <c r="F8" s="9" t="n">
        <v>1542.52</v>
      </c>
      <c r="G8" s="9" t="n">
        <v>1676.09</v>
      </c>
      <c r="H8" s="9" t="n">
        <v>1800.8</v>
      </c>
      <c r="I8" s="9" t="n">
        <v>1919.65</v>
      </c>
      <c r="J8" s="9" t="n">
        <v>2063.62</v>
      </c>
    </row>
    <row r="9" customFormat="false" ht="15" hidden="false" customHeight="false" outlineLevel="0" collapsed="false">
      <c r="A9" s="8" t="s">
        <v>22</v>
      </c>
      <c r="B9" s="8" t="n">
        <v>8</v>
      </c>
      <c r="C9" s="8" t="s">
        <v>37</v>
      </c>
      <c r="D9" s="8" t="s">
        <v>38</v>
      </c>
      <c r="E9" s="9" t="n">
        <v>243.77</v>
      </c>
      <c r="F9" s="9" t="n">
        <v>232.22</v>
      </c>
      <c r="G9" s="9" t="n">
        <v>283.17</v>
      </c>
      <c r="H9" s="9" t="n">
        <v>341</v>
      </c>
      <c r="I9" s="9" t="n">
        <v>361.46</v>
      </c>
      <c r="J9" s="9" t="n">
        <v>388.57</v>
      </c>
    </row>
    <row r="10" customFormat="false" ht="15" hidden="false" customHeight="false" outlineLevel="0" collapsed="false">
      <c r="A10" s="8" t="s">
        <v>22</v>
      </c>
      <c r="B10" s="8" t="n">
        <v>9</v>
      </c>
      <c r="C10" s="8" t="s">
        <v>39</v>
      </c>
      <c r="D10" s="8" t="s">
        <v>40</v>
      </c>
      <c r="E10" s="9" t="n">
        <v>167.62</v>
      </c>
      <c r="F10" s="9" t="n">
        <v>171.54</v>
      </c>
      <c r="G10" s="9" t="n">
        <v>219.8</v>
      </c>
      <c r="H10" s="9" t="n">
        <v>258.85</v>
      </c>
      <c r="I10" s="9" t="n">
        <v>284.14</v>
      </c>
      <c r="J10" s="9" t="n">
        <v>301.19</v>
      </c>
    </row>
    <row r="11" customFormat="false" ht="15" hidden="false" customHeight="false" outlineLevel="0" collapsed="false">
      <c r="A11" s="8" t="s">
        <v>22</v>
      </c>
      <c r="B11" s="8" t="n">
        <v>10</v>
      </c>
      <c r="C11" s="8" t="s">
        <v>41</v>
      </c>
      <c r="D11" s="8" t="s">
        <v>42</v>
      </c>
      <c r="E11" s="9" t="n">
        <v>357.3</v>
      </c>
      <c r="F11" s="9" t="n">
        <v>371.11</v>
      </c>
      <c r="G11" s="9" t="n">
        <v>390.39</v>
      </c>
      <c r="H11" s="9" t="n">
        <v>486.26</v>
      </c>
      <c r="I11" s="9" t="n">
        <v>508.14</v>
      </c>
      <c r="J11" s="9" t="n">
        <v>520.84</v>
      </c>
    </row>
    <row r="12" customFormat="false" ht="15" hidden="false" customHeight="false" outlineLevel="0" collapsed="false">
      <c r="A12" s="8" t="s">
        <v>22</v>
      </c>
      <c r="B12" s="8" t="n">
        <v>11</v>
      </c>
      <c r="C12" s="8" t="s">
        <v>43</v>
      </c>
      <c r="D12" s="8" t="s">
        <v>44</v>
      </c>
      <c r="E12" s="9" t="n">
        <v>160.7</v>
      </c>
      <c r="F12" s="9" t="n">
        <v>161.22</v>
      </c>
      <c r="G12" s="9" t="n">
        <v>165.06</v>
      </c>
      <c r="H12" s="9" t="n">
        <v>177.49</v>
      </c>
      <c r="I12" s="9" t="n">
        <v>187.61</v>
      </c>
      <c r="J12" s="9" t="n">
        <v>195.3</v>
      </c>
    </row>
    <row r="13" customFormat="false" ht="15" hidden="false" customHeight="false" outlineLevel="0" collapsed="false">
      <c r="A13" s="8" t="s">
        <v>22</v>
      </c>
      <c r="B13" s="8" t="n">
        <v>12</v>
      </c>
      <c r="C13" s="8" t="s">
        <v>45</v>
      </c>
      <c r="D13" s="8" t="s">
        <v>46</v>
      </c>
      <c r="E13" s="9" t="n">
        <v>288.87</v>
      </c>
      <c r="F13" s="9" t="n">
        <v>296.37</v>
      </c>
      <c r="G13" s="9" t="n">
        <v>306.63</v>
      </c>
      <c r="H13" s="9" t="n">
        <v>318.8</v>
      </c>
      <c r="I13" s="9" t="n">
        <v>332.51</v>
      </c>
      <c r="J13" s="9" t="n">
        <v>349.14</v>
      </c>
    </row>
    <row r="14" customFormat="false" ht="15" hidden="false" customHeight="false" outlineLevel="0" collapsed="false">
      <c r="A14" s="8" t="s">
        <v>22</v>
      </c>
      <c r="B14" s="8" t="n">
        <v>13</v>
      </c>
      <c r="C14" s="8" t="s">
        <v>47</v>
      </c>
      <c r="D14" s="8" t="s">
        <v>48</v>
      </c>
      <c r="E14" s="9" t="n">
        <v>1.62</v>
      </c>
      <c r="F14" s="9" t="n">
        <v>1.71</v>
      </c>
      <c r="G14" s="9" t="n">
        <v>1.84</v>
      </c>
      <c r="H14" s="9" t="n">
        <v>2.1</v>
      </c>
      <c r="I14" s="9" t="n">
        <v>2.23</v>
      </c>
      <c r="J14" s="9" t="n">
        <v>2.45</v>
      </c>
    </row>
    <row r="15" customFormat="false" ht="15" hidden="false" customHeight="false" outlineLevel="0" collapsed="false">
      <c r="A15" s="8" t="s">
        <v>22</v>
      </c>
      <c r="B15" s="8" t="n">
        <v>14</v>
      </c>
      <c r="C15" s="8" t="s">
        <v>49</v>
      </c>
      <c r="D15" s="8" t="s">
        <v>50</v>
      </c>
      <c r="E15" s="9" t="n">
        <v>375.5</v>
      </c>
      <c r="F15" s="9" t="n">
        <v>342.16</v>
      </c>
      <c r="G15" s="9" t="n">
        <v>349.05</v>
      </c>
      <c r="H15" s="9" t="n">
        <v>363.41</v>
      </c>
      <c r="I15" s="9" t="n">
        <v>425.3</v>
      </c>
      <c r="J15" s="9" t="n">
        <v>421.05</v>
      </c>
    </row>
    <row r="16" customFormat="false" ht="15" hidden="false" customHeight="false" outlineLevel="0" collapsed="false">
      <c r="A16" s="8" t="s">
        <v>22</v>
      </c>
      <c r="B16" s="8" t="n">
        <v>15</v>
      </c>
      <c r="C16" s="8" t="s">
        <v>51</v>
      </c>
      <c r="D16" s="8" t="s">
        <v>52</v>
      </c>
      <c r="E16" s="9" t="n">
        <v>306.74</v>
      </c>
      <c r="F16" s="9" t="n">
        <v>305.36</v>
      </c>
      <c r="G16" s="9" t="n">
        <v>313.14</v>
      </c>
      <c r="H16" s="9" t="n">
        <v>325.46</v>
      </c>
      <c r="I16" s="9" t="n">
        <v>338.48</v>
      </c>
      <c r="J16" s="9" t="n">
        <v>355.4</v>
      </c>
    </row>
    <row r="17" customFormat="false" ht="15" hidden="false" customHeight="false" outlineLevel="0" collapsed="false">
      <c r="A17" s="8" t="s">
        <v>22</v>
      </c>
      <c r="B17" s="8" t="n">
        <v>16</v>
      </c>
      <c r="C17" s="8" t="s">
        <v>53</v>
      </c>
      <c r="D17" s="8" t="s">
        <v>54</v>
      </c>
      <c r="E17" s="9" t="n">
        <v>187.16</v>
      </c>
      <c r="F17" s="9" t="n">
        <v>199.9</v>
      </c>
      <c r="G17" s="9" t="n">
        <v>204.88</v>
      </c>
      <c r="H17" s="9" t="n">
        <v>186.56</v>
      </c>
      <c r="I17" s="9" t="n">
        <v>198.5</v>
      </c>
      <c r="J17" s="9" t="n">
        <v>203.46</v>
      </c>
    </row>
    <row r="18" customFormat="false" ht="15" hidden="false" customHeight="false" outlineLevel="0" collapsed="false">
      <c r="A18" s="8" t="s">
        <v>22</v>
      </c>
      <c r="B18" s="8" t="n">
        <v>17</v>
      </c>
      <c r="C18" s="8" t="s">
        <v>55</v>
      </c>
      <c r="D18" s="8" t="s">
        <v>56</v>
      </c>
      <c r="E18" s="9" t="n">
        <v>106.48</v>
      </c>
      <c r="F18" s="9" t="n">
        <v>104.14</v>
      </c>
      <c r="G18" s="9" t="n">
        <v>123.86</v>
      </c>
      <c r="H18" s="9" t="n">
        <v>143.83</v>
      </c>
      <c r="I18" s="9" t="n">
        <v>161.75</v>
      </c>
      <c r="J18" s="9" t="n">
        <v>168.22</v>
      </c>
    </row>
    <row r="19" customFormat="false" ht="15" hidden="false" customHeight="false" outlineLevel="0" collapsed="false">
      <c r="A19" s="8" t="s">
        <v>57</v>
      </c>
      <c r="B19" s="8" t="n">
        <v>1</v>
      </c>
      <c r="C19" s="8" t="s">
        <v>23</v>
      </c>
      <c r="D19" s="8" t="s">
        <v>24</v>
      </c>
      <c r="E19" s="9" t="n">
        <v>914.27</v>
      </c>
      <c r="F19" s="9" t="n">
        <v>933.66</v>
      </c>
      <c r="G19" s="9" t="n">
        <v>969.93</v>
      </c>
      <c r="H19" s="9" t="n">
        <v>1005.07</v>
      </c>
      <c r="I19" s="9" t="n">
        <v>1038.24</v>
      </c>
      <c r="J19" s="9" t="n">
        <v>1074.58</v>
      </c>
    </row>
    <row r="20" customFormat="false" ht="15" hidden="false" customHeight="false" outlineLevel="0" collapsed="false">
      <c r="A20" s="8" t="s">
        <v>57</v>
      </c>
      <c r="B20" s="8" t="n">
        <v>2</v>
      </c>
      <c r="C20" s="8" t="s">
        <v>25</v>
      </c>
      <c r="D20" s="8" t="s">
        <v>26</v>
      </c>
      <c r="E20" s="9" t="n">
        <v>760.84</v>
      </c>
      <c r="F20" s="9" t="n">
        <v>667.28</v>
      </c>
      <c r="G20" s="9" t="n">
        <v>527.15</v>
      </c>
      <c r="H20" s="9" t="n">
        <v>433.89</v>
      </c>
      <c r="I20" s="9" t="n">
        <v>381.82</v>
      </c>
      <c r="J20" s="9" t="n">
        <v>400.91</v>
      </c>
    </row>
    <row r="21" customFormat="false" ht="15" hidden="false" customHeight="false" outlineLevel="0" collapsed="false">
      <c r="A21" s="8" t="s">
        <v>57</v>
      </c>
      <c r="B21" s="8" t="n">
        <v>3</v>
      </c>
      <c r="C21" s="8" t="s">
        <v>27</v>
      </c>
      <c r="D21" s="8" t="s">
        <v>28</v>
      </c>
      <c r="E21" s="9" t="n">
        <v>5488.02</v>
      </c>
      <c r="F21" s="9" t="n">
        <v>5587.47</v>
      </c>
      <c r="G21" s="9" t="n">
        <v>5939.18</v>
      </c>
      <c r="H21" s="9" t="n">
        <v>6151.09</v>
      </c>
      <c r="I21" s="9" t="n">
        <v>7061.45</v>
      </c>
      <c r="J21" s="9" t="n">
        <v>7838.21</v>
      </c>
    </row>
    <row r="22" customFormat="false" ht="15" hidden="false" customHeight="false" outlineLevel="0" collapsed="false">
      <c r="A22" s="8" t="s">
        <v>57</v>
      </c>
      <c r="B22" s="8" t="n">
        <v>4</v>
      </c>
      <c r="C22" s="8" t="s">
        <v>29</v>
      </c>
      <c r="D22" s="8" t="s">
        <v>30</v>
      </c>
      <c r="E22" s="9" t="n">
        <v>20.88</v>
      </c>
      <c r="F22" s="9" t="n">
        <v>21.15</v>
      </c>
      <c r="G22" s="9" t="n">
        <v>21.84</v>
      </c>
      <c r="H22" s="9" t="n">
        <v>23.79</v>
      </c>
      <c r="I22" s="9" t="n">
        <v>25.46</v>
      </c>
      <c r="J22" s="9" t="n">
        <v>27.88</v>
      </c>
    </row>
    <row r="23" customFormat="false" ht="15" hidden="false" customHeight="false" outlineLevel="0" collapsed="false">
      <c r="A23" s="8" t="s">
        <v>57</v>
      </c>
      <c r="B23" s="8" t="n">
        <v>5</v>
      </c>
      <c r="C23" s="8" t="s">
        <v>31</v>
      </c>
      <c r="D23" s="8" t="s">
        <v>32</v>
      </c>
      <c r="E23" s="9" t="n">
        <v>8.63</v>
      </c>
      <c r="F23" s="9" t="n">
        <v>8.77</v>
      </c>
      <c r="G23" s="9" t="n">
        <v>9.09</v>
      </c>
      <c r="H23" s="9" t="n">
        <v>9.41</v>
      </c>
      <c r="I23" s="9" t="n">
        <v>9.79</v>
      </c>
      <c r="J23" s="9" t="n">
        <v>10.52</v>
      </c>
    </row>
    <row r="24" customFormat="false" ht="15" hidden="false" customHeight="false" outlineLevel="0" collapsed="false">
      <c r="A24" s="8" t="s">
        <v>57</v>
      </c>
      <c r="B24" s="8" t="n">
        <v>6</v>
      </c>
      <c r="C24" s="8" t="s">
        <v>33</v>
      </c>
      <c r="D24" s="8" t="s">
        <v>34</v>
      </c>
      <c r="E24" s="9" t="n">
        <v>3044.85</v>
      </c>
      <c r="F24" s="9" t="n">
        <v>3050.92</v>
      </c>
      <c r="G24" s="9" t="n">
        <v>3075.02</v>
      </c>
      <c r="H24" s="9" t="n">
        <v>3256.45</v>
      </c>
      <c r="I24" s="9" t="n">
        <v>3500.73</v>
      </c>
      <c r="J24" s="9" t="n">
        <v>3710.77</v>
      </c>
    </row>
    <row r="25" customFormat="false" ht="15" hidden="false" customHeight="false" outlineLevel="0" collapsed="false">
      <c r="A25" s="8" t="s">
        <v>57</v>
      </c>
      <c r="B25" s="8" t="n">
        <v>7</v>
      </c>
      <c r="C25" s="8" t="s">
        <v>35</v>
      </c>
      <c r="D25" s="8" t="s">
        <v>36</v>
      </c>
      <c r="E25" s="9" t="n">
        <v>1345.12</v>
      </c>
      <c r="F25" s="9" t="n">
        <v>1360.79</v>
      </c>
      <c r="G25" s="9" t="n">
        <v>1411.65</v>
      </c>
      <c r="H25" s="9" t="n">
        <v>1562.75</v>
      </c>
      <c r="I25" s="9" t="n">
        <v>1675.27</v>
      </c>
      <c r="J25" s="9" t="n">
        <v>1809.3</v>
      </c>
    </row>
    <row r="26" customFormat="false" ht="15" hidden="false" customHeight="false" outlineLevel="0" collapsed="false">
      <c r="A26" s="8" t="s">
        <v>57</v>
      </c>
      <c r="B26" s="8" t="n">
        <v>8</v>
      </c>
      <c r="C26" s="8" t="s">
        <v>37</v>
      </c>
      <c r="D26" s="8" t="s">
        <v>38</v>
      </c>
      <c r="E26" s="9" t="n">
        <v>303.82</v>
      </c>
      <c r="F26" s="9" t="n">
        <v>314.92</v>
      </c>
      <c r="G26" s="9" t="n">
        <v>335.24</v>
      </c>
      <c r="H26" s="9" t="n">
        <v>423.08</v>
      </c>
      <c r="I26" s="9" t="n">
        <v>452.7</v>
      </c>
      <c r="J26" s="9" t="n">
        <v>484.39</v>
      </c>
    </row>
    <row r="27" customFormat="false" ht="15" hidden="false" customHeight="false" outlineLevel="0" collapsed="false">
      <c r="A27" s="8" t="s">
        <v>57</v>
      </c>
      <c r="B27" s="8" t="n">
        <v>9</v>
      </c>
      <c r="C27" s="8" t="s">
        <v>39</v>
      </c>
      <c r="D27" s="8" t="s">
        <v>40</v>
      </c>
      <c r="E27" s="9" t="n">
        <v>530.58</v>
      </c>
      <c r="F27" s="9" t="n">
        <v>527.9</v>
      </c>
      <c r="G27" s="9" t="n">
        <v>746.48</v>
      </c>
      <c r="H27" s="9" t="n">
        <v>989.78</v>
      </c>
      <c r="I27" s="9" t="n">
        <v>1073.91</v>
      </c>
      <c r="J27" s="9" t="n">
        <v>1138.34</v>
      </c>
    </row>
    <row r="28" customFormat="false" ht="15" hidden="false" customHeight="false" outlineLevel="0" collapsed="false">
      <c r="A28" s="8" t="s">
        <v>57</v>
      </c>
      <c r="B28" s="8" t="n">
        <v>10</v>
      </c>
      <c r="C28" s="8" t="s">
        <v>41</v>
      </c>
      <c r="D28" s="8" t="s">
        <v>42</v>
      </c>
      <c r="E28" s="9" t="n">
        <v>221.12</v>
      </c>
      <c r="F28" s="9" t="n">
        <v>222.59</v>
      </c>
      <c r="G28" s="9" t="n">
        <v>233.7</v>
      </c>
      <c r="H28" s="9" t="n">
        <v>285.55</v>
      </c>
      <c r="I28" s="9" t="n">
        <v>308.39</v>
      </c>
      <c r="J28" s="9" t="n">
        <v>316.1</v>
      </c>
    </row>
    <row r="29" customFormat="false" ht="15" hidden="false" customHeight="false" outlineLevel="0" collapsed="false">
      <c r="A29" s="8" t="s">
        <v>57</v>
      </c>
      <c r="B29" s="8" t="n">
        <v>11</v>
      </c>
      <c r="C29" s="8" t="s">
        <v>43</v>
      </c>
      <c r="D29" s="8" t="s">
        <v>44</v>
      </c>
      <c r="E29" s="9" t="n">
        <v>258.92</v>
      </c>
      <c r="F29" s="9" t="n">
        <v>258.96</v>
      </c>
      <c r="G29" s="9" t="n">
        <v>262.94</v>
      </c>
      <c r="H29" s="9" t="n">
        <v>275.81</v>
      </c>
      <c r="I29" s="9" t="n">
        <v>289.6</v>
      </c>
      <c r="J29" s="9" t="n">
        <v>301.18</v>
      </c>
    </row>
    <row r="30" customFormat="false" ht="15" hidden="false" customHeight="false" outlineLevel="0" collapsed="false">
      <c r="A30" s="8" t="s">
        <v>57</v>
      </c>
      <c r="B30" s="8" t="n">
        <v>12</v>
      </c>
      <c r="C30" s="8" t="s">
        <v>45</v>
      </c>
      <c r="D30" s="8" t="s">
        <v>46</v>
      </c>
      <c r="E30" s="9" t="n">
        <v>180.65</v>
      </c>
      <c r="F30" s="9" t="n">
        <v>180.99</v>
      </c>
      <c r="G30" s="9" t="n">
        <v>185.88</v>
      </c>
      <c r="H30" s="9" t="n">
        <v>188.95</v>
      </c>
      <c r="I30" s="9" t="n">
        <v>198.4</v>
      </c>
      <c r="J30" s="9" t="n">
        <v>208.32</v>
      </c>
    </row>
    <row r="31" customFormat="false" ht="15" hidden="false" customHeight="false" outlineLevel="0" collapsed="false">
      <c r="A31" s="8" t="s">
        <v>57</v>
      </c>
      <c r="B31" s="8" t="n">
        <v>13</v>
      </c>
      <c r="C31" s="8" t="s">
        <v>47</v>
      </c>
      <c r="D31" s="8" t="s">
        <v>48</v>
      </c>
      <c r="E31" s="9" t="n">
        <v>0.12</v>
      </c>
      <c r="F31" s="9" t="n">
        <v>0.12</v>
      </c>
      <c r="G31" s="9" t="n">
        <v>0.13</v>
      </c>
      <c r="H31" s="9" t="n">
        <v>0.15</v>
      </c>
      <c r="I31" s="9" t="n">
        <v>0.16</v>
      </c>
      <c r="J31" s="9" t="n">
        <v>0.18</v>
      </c>
    </row>
    <row r="32" customFormat="false" ht="15" hidden="false" customHeight="false" outlineLevel="0" collapsed="false">
      <c r="A32" s="8" t="s">
        <v>57</v>
      </c>
      <c r="B32" s="8" t="n">
        <v>14</v>
      </c>
      <c r="C32" s="8" t="s">
        <v>49</v>
      </c>
      <c r="D32" s="8" t="s">
        <v>50</v>
      </c>
      <c r="E32" s="9" t="n">
        <v>379.11</v>
      </c>
      <c r="F32" s="9" t="n">
        <v>347.55</v>
      </c>
      <c r="G32" s="9" t="n">
        <v>363.09</v>
      </c>
      <c r="H32" s="9" t="n">
        <v>368.38</v>
      </c>
      <c r="I32" s="9" t="n">
        <v>434.32</v>
      </c>
      <c r="J32" s="9" t="n">
        <v>427.8</v>
      </c>
    </row>
    <row r="33" customFormat="false" ht="15" hidden="false" customHeight="false" outlineLevel="0" collapsed="false">
      <c r="A33" s="8" t="s">
        <v>57</v>
      </c>
      <c r="B33" s="8" t="n">
        <v>15</v>
      </c>
      <c r="C33" s="8" t="s">
        <v>51</v>
      </c>
      <c r="D33" s="8" t="s">
        <v>52</v>
      </c>
      <c r="E33" s="9" t="n">
        <v>268.71</v>
      </c>
      <c r="F33" s="9" t="n">
        <v>268.98</v>
      </c>
      <c r="G33" s="9" t="n">
        <v>278.27</v>
      </c>
      <c r="H33" s="9" t="n">
        <v>292.64</v>
      </c>
      <c r="I33" s="9" t="n">
        <v>304.35</v>
      </c>
      <c r="J33" s="9" t="n">
        <v>319.57</v>
      </c>
    </row>
    <row r="34" customFormat="false" ht="15" hidden="false" customHeight="false" outlineLevel="0" collapsed="false">
      <c r="A34" s="8" t="s">
        <v>57</v>
      </c>
      <c r="B34" s="8" t="n">
        <v>16</v>
      </c>
      <c r="C34" s="8" t="s">
        <v>53</v>
      </c>
      <c r="D34" s="8" t="s">
        <v>54</v>
      </c>
      <c r="E34" s="9" t="n">
        <v>153.88</v>
      </c>
      <c r="F34" s="9" t="n">
        <v>158.56</v>
      </c>
      <c r="G34" s="9" t="n">
        <v>166.42</v>
      </c>
      <c r="H34" s="9" t="n">
        <v>146.25</v>
      </c>
      <c r="I34" s="9" t="n">
        <v>175.5</v>
      </c>
      <c r="J34" s="9" t="n">
        <v>180.76</v>
      </c>
    </row>
    <row r="35" customFormat="false" ht="15" hidden="false" customHeight="false" outlineLevel="0" collapsed="false">
      <c r="A35" s="8" t="s">
        <v>57</v>
      </c>
      <c r="B35" s="8" t="n">
        <v>17</v>
      </c>
      <c r="C35" s="8" t="s">
        <v>55</v>
      </c>
      <c r="D35" s="8" t="s">
        <v>56</v>
      </c>
      <c r="E35" s="9" t="n">
        <v>22.64</v>
      </c>
      <c r="F35" s="9" t="n">
        <v>22.86</v>
      </c>
      <c r="G35" s="9" t="n">
        <v>25.76</v>
      </c>
      <c r="H35" s="9" t="n">
        <v>32.25</v>
      </c>
      <c r="I35" s="9" t="n">
        <v>37.5</v>
      </c>
      <c r="J35" s="9" t="n">
        <v>39</v>
      </c>
    </row>
    <row r="36" customFormat="false" ht="15" hidden="false" customHeight="false" outlineLevel="0" collapsed="false">
      <c r="A36" s="8" t="s">
        <v>58</v>
      </c>
      <c r="B36" s="8" t="n">
        <v>1</v>
      </c>
      <c r="C36" s="8" t="s">
        <v>23</v>
      </c>
      <c r="D36" s="8" t="s">
        <v>24</v>
      </c>
      <c r="E36" s="9" t="n">
        <v>4227.67</v>
      </c>
      <c r="F36" s="9" t="n">
        <v>4232.74</v>
      </c>
      <c r="G36" s="9" t="n">
        <v>4443.32</v>
      </c>
      <c r="H36" s="9" t="n">
        <v>4511.31</v>
      </c>
      <c r="I36" s="9" t="n">
        <v>4536.87</v>
      </c>
      <c r="J36" s="9" t="n">
        <v>4695.66</v>
      </c>
    </row>
    <row r="37" customFormat="false" ht="15" hidden="false" customHeight="false" outlineLevel="0" collapsed="false">
      <c r="A37" s="8" t="s">
        <v>58</v>
      </c>
      <c r="B37" s="8" t="n">
        <v>2</v>
      </c>
      <c r="C37" s="8" t="s">
        <v>25</v>
      </c>
      <c r="D37" s="8" t="s">
        <v>26</v>
      </c>
      <c r="E37" s="9" t="n">
        <v>660.15</v>
      </c>
      <c r="F37" s="9" t="n">
        <v>653.88</v>
      </c>
      <c r="G37" s="9" t="n">
        <v>662.38</v>
      </c>
      <c r="H37" s="9" t="n">
        <v>644.83</v>
      </c>
      <c r="I37" s="9" t="n">
        <v>594.34</v>
      </c>
      <c r="J37" s="9" t="n">
        <v>689.43</v>
      </c>
    </row>
    <row r="38" customFormat="false" ht="15" hidden="false" customHeight="false" outlineLevel="0" collapsed="false">
      <c r="A38" s="8" t="s">
        <v>58</v>
      </c>
      <c r="B38" s="8" t="n">
        <v>3</v>
      </c>
      <c r="C38" s="8" t="s">
        <v>27</v>
      </c>
      <c r="D38" s="8" t="s">
        <v>28</v>
      </c>
      <c r="E38" s="9" t="n">
        <v>370.12</v>
      </c>
      <c r="F38" s="9" t="n">
        <v>373.8</v>
      </c>
      <c r="G38" s="9" t="n">
        <v>376.12</v>
      </c>
      <c r="H38" s="9" t="n">
        <v>385.37</v>
      </c>
      <c r="I38" s="9" t="n">
        <v>415.31</v>
      </c>
      <c r="J38" s="9" t="n">
        <v>446.46</v>
      </c>
    </row>
    <row r="39" customFormat="false" ht="15" hidden="false" customHeight="false" outlineLevel="0" collapsed="false">
      <c r="A39" s="8" t="s">
        <v>58</v>
      </c>
      <c r="B39" s="8" t="n">
        <v>4</v>
      </c>
      <c r="C39" s="8" t="s">
        <v>29</v>
      </c>
      <c r="D39" s="8" t="s">
        <v>30</v>
      </c>
      <c r="E39" s="9" t="n">
        <v>40.15</v>
      </c>
      <c r="F39" s="9" t="n">
        <v>41.85</v>
      </c>
      <c r="G39" s="9" t="n">
        <v>42.96</v>
      </c>
      <c r="H39" s="9" t="n">
        <v>46.41</v>
      </c>
      <c r="I39" s="9" t="n">
        <v>49.75</v>
      </c>
      <c r="J39" s="9" t="n">
        <v>54.91</v>
      </c>
    </row>
    <row r="40" customFormat="false" ht="15" hidden="false" customHeight="false" outlineLevel="0" collapsed="false">
      <c r="A40" s="8" t="s">
        <v>58</v>
      </c>
      <c r="B40" s="8" t="n">
        <v>5</v>
      </c>
      <c r="C40" s="8" t="s">
        <v>31</v>
      </c>
      <c r="D40" s="8" t="s">
        <v>32</v>
      </c>
      <c r="E40" s="9" t="n">
        <v>3.01</v>
      </c>
      <c r="F40" s="9" t="n">
        <v>3.05</v>
      </c>
      <c r="G40" s="9" t="n">
        <v>3.2</v>
      </c>
      <c r="H40" s="9" t="n">
        <v>3.34</v>
      </c>
      <c r="I40" s="9" t="n">
        <v>3.41</v>
      </c>
      <c r="J40" s="9" t="n">
        <v>3.81</v>
      </c>
    </row>
    <row r="41" customFormat="false" ht="15" hidden="false" customHeight="false" outlineLevel="0" collapsed="false">
      <c r="A41" s="8" t="s">
        <v>58</v>
      </c>
      <c r="B41" s="8" t="n">
        <v>6</v>
      </c>
      <c r="C41" s="8" t="s">
        <v>33</v>
      </c>
      <c r="D41" s="8" t="s">
        <v>34</v>
      </c>
      <c r="E41" s="9" t="n">
        <v>3270.14</v>
      </c>
      <c r="F41" s="9" t="n">
        <v>3277.67</v>
      </c>
      <c r="G41" s="9" t="n">
        <v>3310.87</v>
      </c>
      <c r="H41" s="9" t="n">
        <v>3658.18</v>
      </c>
      <c r="I41" s="9" t="n">
        <v>3868.53</v>
      </c>
      <c r="J41" s="9" t="n">
        <v>4073.56</v>
      </c>
    </row>
    <row r="42" customFormat="false" ht="15" hidden="false" customHeight="false" outlineLevel="0" collapsed="false">
      <c r="A42" s="8" t="s">
        <v>58</v>
      </c>
      <c r="B42" s="8" t="n">
        <v>7</v>
      </c>
      <c r="C42" s="8" t="s">
        <v>35</v>
      </c>
      <c r="D42" s="8" t="s">
        <v>36</v>
      </c>
      <c r="E42" s="9" t="n">
        <v>1350.22</v>
      </c>
      <c r="F42" s="9" t="n">
        <v>1359.88</v>
      </c>
      <c r="G42" s="9" t="n">
        <v>1515.22</v>
      </c>
      <c r="H42" s="9" t="n">
        <v>1604.16</v>
      </c>
      <c r="I42" s="9" t="n">
        <v>1693.83</v>
      </c>
      <c r="J42" s="9" t="n">
        <v>1821.72</v>
      </c>
    </row>
    <row r="43" customFormat="false" ht="15" hidden="false" customHeight="false" outlineLevel="0" collapsed="false">
      <c r="A43" s="8" t="s">
        <v>58</v>
      </c>
      <c r="B43" s="8" t="n">
        <v>8</v>
      </c>
      <c r="C43" s="8" t="s">
        <v>37</v>
      </c>
      <c r="D43" s="8" t="s">
        <v>38</v>
      </c>
      <c r="E43" s="9" t="n">
        <v>650.18</v>
      </c>
      <c r="F43" s="9" t="n">
        <v>656.09</v>
      </c>
      <c r="G43" s="9" t="n">
        <v>710.05</v>
      </c>
      <c r="H43" s="9" t="n">
        <v>815.99</v>
      </c>
      <c r="I43" s="9" t="n">
        <v>836.47</v>
      </c>
      <c r="J43" s="9" t="n">
        <v>896.53</v>
      </c>
    </row>
    <row r="44" customFormat="false" ht="15" hidden="false" customHeight="false" outlineLevel="0" collapsed="false">
      <c r="A44" s="8" t="s">
        <v>58</v>
      </c>
      <c r="B44" s="8" t="n">
        <v>9</v>
      </c>
      <c r="C44" s="8" t="s">
        <v>39</v>
      </c>
      <c r="D44" s="8" t="s">
        <v>40</v>
      </c>
      <c r="E44" s="9" t="n">
        <v>225.12</v>
      </c>
      <c r="F44" s="9" t="n">
        <v>228.48</v>
      </c>
      <c r="G44" s="9" t="n">
        <v>257.34</v>
      </c>
      <c r="H44" s="9" t="n">
        <v>327.62</v>
      </c>
      <c r="I44" s="9" t="n">
        <v>341.41</v>
      </c>
      <c r="J44" s="9" t="n">
        <v>351.21</v>
      </c>
    </row>
    <row r="45" customFormat="false" ht="15" hidden="false" customHeight="false" outlineLevel="0" collapsed="false">
      <c r="A45" s="8" t="s">
        <v>58</v>
      </c>
      <c r="B45" s="8" t="n">
        <v>10</v>
      </c>
      <c r="C45" s="8" t="s">
        <v>41</v>
      </c>
      <c r="D45" s="8" t="s">
        <v>42</v>
      </c>
      <c r="E45" s="9" t="n">
        <v>455.1</v>
      </c>
      <c r="F45" s="9" t="n">
        <v>464.83</v>
      </c>
      <c r="G45" s="9" t="n">
        <v>499.27</v>
      </c>
      <c r="H45" s="9" t="n">
        <v>598.92</v>
      </c>
      <c r="I45" s="9" t="n">
        <v>598.56</v>
      </c>
      <c r="J45" s="9" t="n">
        <v>582.7</v>
      </c>
    </row>
    <row r="46" customFormat="false" ht="15" hidden="false" customHeight="false" outlineLevel="0" collapsed="false">
      <c r="A46" s="8" t="s">
        <v>58</v>
      </c>
      <c r="B46" s="8" t="n">
        <v>11</v>
      </c>
      <c r="C46" s="8" t="s">
        <v>43</v>
      </c>
      <c r="D46" s="8" t="s">
        <v>44</v>
      </c>
      <c r="E46" s="9" t="n">
        <v>65.12</v>
      </c>
      <c r="F46" s="9" t="n">
        <v>66.44</v>
      </c>
      <c r="G46" s="9" t="n">
        <v>71.37</v>
      </c>
      <c r="H46" s="9" t="n">
        <v>77.54</v>
      </c>
      <c r="I46" s="9" t="n">
        <v>83.29</v>
      </c>
      <c r="J46" s="9" t="n">
        <v>86.71</v>
      </c>
    </row>
    <row r="47" customFormat="false" ht="15" hidden="false" customHeight="false" outlineLevel="0" collapsed="false">
      <c r="A47" s="8" t="s">
        <v>58</v>
      </c>
      <c r="B47" s="8" t="n">
        <v>12</v>
      </c>
      <c r="C47" s="8" t="s">
        <v>45</v>
      </c>
      <c r="D47" s="8" t="s">
        <v>46</v>
      </c>
      <c r="E47" s="9" t="n">
        <v>300.15</v>
      </c>
      <c r="F47" s="9" t="n">
        <v>305.89</v>
      </c>
      <c r="G47" s="9" t="n">
        <v>316.03</v>
      </c>
      <c r="H47" s="9" t="n">
        <v>332.62</v>
      </c>
      <c r="I47" s="9" t="n">
        <v>351.21</v>
      </c>
      <c r="J47" s="9" t="n">
        <v>371.26</v>
      </c>
    </row>
    <row r="48" customFormat="false" ht="15" hidden="false" customHeight="false" outlineLevel="0" collapsed="false">
      <c r="A48" s="8" t="s">
        <v>58</v>
      </c>
      <c r="B48" s="8" t="n">
        <v>13</v>
      </c>
      <c r="C48" s="8" t="s">
        <v>47</v>
      </c>
      <c r="D48" s="8" t="s">
        <v>48</v>
      </c>
      <c r="E48" s="9" t="n">
        <v>0.08</v>
      </c>
      <c r="F48" s="9" t="n">
        <v>0.08</v>
      </c>
      <c r="G48" s="9" t="n">
        <v>0.09</v>
      </c>
      <c r="H48" s="9" t="n">
        <v>0.11</v>
      </c>
      <c r="I48" s="9" t="n">
        <v>0.12</v>
      </c>
      <c r="J48" s="9" t="n">
        <v>0.14</v>
      </c>
    </row>
    <row r="49" customFormat="false" ht="15" hidden="false" customHeight="false" outlineLevel="0" collapsed="false">
      <c r="A49" s="8" t="s">
        <v>58</v>
      </c>
      <c r="B49" s="8" t="n">
        <v>14</v>
      </c>
      <c r="C49" s="8" t="s">
        <v>49</v>
      </c>
      <c r="D49" s="8" t="s">
        <v>50</v>
      </c>
      <c r="E49" s="9" t="n">
        <v>855.14</v>
      </c>
      <c r="F49" s="9" t="n">
        <v>862.62</v>
      </c>
      <c r="G49" s="9" t="n">
        <v>884.97</v>
      </c>
      <c r="H49" s="9" t="n">
        <v>930.37</v>
      </c>
      <c r="I49" s="9" t="n">
        <v>1096.53</v>
      </c>
      <c r="J49" s="9" t="n">
        <v>1080.52</v>
      </c>
    </row>
    <row r="50" customFormat="false" ht="15" hidden="false" customHeight="false" outlineLevel="0" collapsed="false">
      <c r="A50" s="8" t="s">
        <v>58</v>
      </c>
      <c r="B50" s="8" t="n">
        <v>15</v>
      </c>
      <c r="C50" s="8" t="s">
        <v>51</v>
      </c>
      <c r="D50" s="8" t="s">
        <v>52</v>
      </c>
      <c r="E50" s="9" t="n">
        <v>74.1</v>
      </c>
      <c r="F50" s="9" t="n">
        <v>75.2</v>
      </c>
      <c r="G50" s="9" t="n">
        <v>76.65</v>
      </c>
      <c r="H50" s="9" t="n">
        <v>79.62</v>
      </c>
      <c r="I50" s="9" t="n">
        <v>82.76</v>
      </c>
      <c r="J50" s="9" t="n">
        <v>87.3</v>
      </c>
    </row>
    <row r="51" customFormat="false" ht="15" hidden="false" customHeight="false" outlineLevel="0" collapsed="false">
      <c r="A51" s="8" t="s">
        <v>58</v>
      </c>
      <c r="B51" s="8" t="n">
        <v>16</v>
      </c>
      <c r="C51" s="8" t="s">
        <v>53</v>
      </c>
      <c r="D51" s="8" t="s">
        <v>54</v>
      </c>
      <c r="E51" s="9" t="n">
        <v>130.12</v>
      </c>
      <c r="F51" s="9" t="n">
        <v>134.5</v>
      </c>
      <c r="G51" s="9" t="n">
        <v>141.28</v>
      </c>
      <c r="H51" s="9" t="n">
        <v>134.47</v>
      </c>
      <c r="I51" s="9" t="n">
        <v>160.83</v>
      </c>
      <c r="J51" s="9" t="n">
        <v>165.12</v>
      </c>
    </row>
    <row r="52" customFormat="false" ht="15" hidden="false" customHeight="false" outlineLevel="0" collapsed="false">
      <c r="A52" s="8" t="s">
        <v>58</v>
      </c>
      <c r="B52" s="8" t="n">
        <v>17</v>
      </c>
      <c r="C52" s="8" t="s">
        <v>55</v>
      </c>
      <c r="D52" s="8" t="s">
        <v>56</v>
      </c>
      <c r="E52" s="9" t="n">
        <v>18.05</v>
      </c>
      <c r="F52" s="9" t="n">
        <v>18.57</v>
      </c>
      <c r="G52" s="9" t="n">
        <v>27.81</v>
      </c>
      <c r="H52" s="9" t="n">
        <v>33.79</v>
      </c>
      <c r="I52" s="9" t="n">
        <v>39.18</v>
      </c>
      <c r="J52" s="9" t="n">
        <v>39.95</v>
      </c>
    </row>
    <row r="53" customFormat="false" ht="15" hidden="false" customHeight="false" outlineLevel="0" collapsed="false">
      <c r="A53" s="8" t="s">
        <v>59</v>
      </c>
      <c r="B53" s="8" t="n">
        <v>1</v>
      </c>
      <c r="C53" s="8" t="s">
        <v>23</v>
      </c>
      <c r="D53" s="8" t="s">
        <v>24</v>
      </c>
      <c r="E53" s="9" t="n">
        <v>675.2</v>
      </c>
      <c r="F53" s="9" t="n">
        <v>685.75</v>
      </c>
      <c r="G53" s="9" t="n">
        <v>696.17</v>
      </c>
      <c r="H53" s="9" t="n">
        <v>710.88</v>
      </c>
      <c r="I53" s="9" t="n">
        <v>712.31</v>
      </c>
      <c r="J53" s="9" t="n">
        <v>735.83</v>
      </c>
    </row>
    <row r="54" customFormat="false" ht="15" hidden="false" customHeight="false" outlineLevel="0" collapsed="false">
      <c r="A54" s="8" t="s">
        <v>59</v>
      </c>
      <c r="B54" s="8" t="n">
        <v>2</v>
      </c>
      <c r="C54" s="8" t="s">
        <v>25</v>
      </c>
      <c r="D54" s="8" t="s">
        <v>26</v>
      </c>
      <c r="E54" s="9" t="n">
        <v>143.12</v>
      </c>
      <c r="F54" s="9" t="n">
        <v>144.91</v>
      </c>
      <c r="G54" s="9" t="n">
        <v>146.56</v>
      </c>
      <c r="H54" s="9" t="n">
        <v>148.18</v>
      </c>
      <c r="I54" s="9" t="n">
        <v>159.03</v>
      </c>
      <c r="J54" s="9" t="n">
        <v>172.55</v>
      </c>
    </row>
    <row r="55" customFormat="false" ht="15" hidden="false" customHeight="false" outlineLevel="0" collapsed="false">
      <c r="A55" s="8" t="s">
        <v>59</v>
      </c>
      <c r="B55" s="8" t="n">
        <v>3</v>
      </c>
      <c r="C55" s="8" t="s">
        <v>27</v>
      </c>
      <c r="D55" s="8" t="s">
        <v>28</v>
      </c>
      <c r="E55" s="9" t="n">
        <v>21.95</v>
      </c>
      <c r="F55" s="9" t="n">
        <v>22.48</v>
      </c>
      <c r="G55" s="9" t="n">
        <v>23.14</v>
      </c>
      <c r="H55" s="9" t="n">
        <v>23.95</v>
      </c>
      <c r="I55" s="9" t="n">
        <v>24.06</v>
      </c>
      <c r="J55" s="9" t="n">
        <v>25.5</v>
      </c>
    </row>
    <row r="56" customFormat="false" ht="15" hidden="false" customHeight="false" outlineLevel="0" collapsed="false">
      <c r="A56" s="8" t="s">
        <v>59</v>
      </c>
      <c r="B56" s="8" t="n">
        <v>4</v>
      </c>
      <c r="C56" s="8" t="s">
        <v>29</v>
      </c>
      <c r="D56" s="8" t="s">
        <v>30</v>
      </c>
      <c r="E56" s="9" t="n">
        <v>8.18</v>
      </c>
      <c r="F56" s="9" t="n">
        <v>8.41</v>
      </c>
      <c r="G56" s="9" t="n">
        <v>8.73</v>
      </c>
      <c r="H56" s="9" t="n">
        <v>9.52</v>
      </c>
      <c r="I56" s="9" t="n">
        <v>10.05</v>
      </c>
      <c r="J56" s="9" t="n">
        <v>10.95</v>
      </c>
    </row>
    <row r="57" customFormat="false" ht="15" hidden="false" customHeight="false" outlineLevel="0" collapsed="false">
      <c r="A57" s="8" t="s">
        <v>59</v>
      </c>
      <c r="B57" s="8" t="n">
        <v>5</v>
      </c>
      <c r="C57" s="8" t="s">
        <v>31</v>
      </c>
      <c r="D57" s="8" t="s">
        <v>32</v>
      </c>
      <c r="E57" s="9" t="n">
        <v>0.89</v>
      </c>
      <c r="F57" s="9" t="n">
        <v>0.91</v>
      </c>
      <c r="G57" s="9" t="n">
        <v>0.96</v>
      </c>
      <c r="H57" s="9" t="n">
        <v>0.98</v>
      </c>
      <c r="I57" s="9" t="n">
        <v>0.99</v>
      </c>
      <c r="J57" s="9" t="n">
        <v>1.08</v>
      </c>
    </row>
    <row r="58" customFormat="false" ht="15" hidden="false" customHeight="false" outlineLevel="0" collapsed="false">
      <c r="A58" s="8" t="s">
        <v>59</v>
      </c>
      <c r="B58" s="8" t="n">
        <v>6</v>
      </c>
      <c r="C58" s="8" t="s">
        <v>33</v>
      </c>
      <c r="D58" s="8" t="s">
        <v>34</v>
      </c>
      <c r="E58" s="9" t="n">
        <v>588.75</v>
      </c>
      <c r="F58" s="9" t="n">
        <v>598.33</v>
      </c>
      <c r="G58" s="9" t="n">
        <v>628.85</v>
      </c>
      <c r="H58" s="9" t="n">
        <v>648.59</v>
      </c>
      <c r="I58" s="9" t="n">
        <v>684.06</v>
      </c>
      <c r="J58" s="9" t="n">
        <v>725.1</v>
      </c>
    </row>
    <row r="59" customFormat="false" ht="15" hidden="false" customHeight="false" outlineLevel="0" collapsed="false">
      <c r="A59" s="8" t="s">
        <v>59</v>
      </c>
      <c r="B59" s="8" t="n">
        <v>7</v>
      </c>
      <c r="C59" s="8" t="s">
        <v>35</v>
      </c>
      <c r="D59" s="8" t="s">
        <v>36</v>
      </c>
      <c r="E59" s="9" t="n">
        <v>618.4</v>
      </c>
      <c r="F59" s="9" t="n">
        <v>630.43</v>
      </c>
      <c r="G59" s="9" t="n">
        <v>661.57</v>
      </c>
      <c r="H59" s="9" t="n">
        <v>692.33</v>
      </c>
      <c r="I59" s="9" t="n">
        <v>743.67</v>
      </c>
      <c r="J59" s="9" t="n">
        <v>803.16</v>
      </c>
    </row>
    <row r="60" customFormat="false" ht="15" hidden="false" customHeight="false" outlineLevel="0" collapsed="false">
      <c r="A60" s="8" t="s">
        <v>59</v>
      </c>
      <c r="B60" s="8" t="n">
        <v>8</v>
      </c>
      <c r="C60" s="8" t="s">
        <v>37</v>
      </c>
      <c r="D60" s="8" t="s">
        <v>38</v>
      </c>
      <c r="E60" s="9" t="n">
        <v>36.88</v>
      </c>
      <c r="F60" s="9" t="n">
        <v>38.32</v>
      </c>
      <c r="G60" s="9" t="n">
        <v>42.63</v>
      </c>
      <c r="H60" s="9" t="n">
        <v>50.67</v>
      </c>
      <c r="I60" s="9" t="n">
        <v>53.64</v>
      </c>
      <c r="J60" s="9" t="n">
        <v>57.93</v>
      </c>
    </row>
    <row r="61" customFormat="false" ht="15" hidden="false" customHeight="false" outlineLevel="0" collapsed="false">
      <c r="A61" s="8" t="s">
        <v>59</v>
      </c>
      <c r="B61" s="8" t="n">
        <v>9</v>
      </c>
      <c r="C61" s="8" t="s">
        <v>39</v>
      </c>
      <c r="D61" s="8" t="s">
        <v>40</v>
      </c>
      <c r="E61" s="9" t="n">
        <v>64.52</v>
      </c>
      <c r="F61" s="9" t="n">
        <v>67.96</v>
      </c>
      <c r="G61" s="9" t="n">
        <v>73.78</v>
      </c>
      <c r="H61" s="9" t="n">
        <v>88.75</v>
      </c>
      <c r="I61" s="9" t="n">
        <v>99.25</v>
      </c>
      <c r="J61" s="9" t="n">
        <v>105.21</v>
      </c>
    </row>
    <row r="62" customFormat="false" ht="15" hidden="false" customHeight="false" outlineLevel="0" collapsed="false">
      <c r="A62" s="8" t="s">
        <v>59</v>
      </c>
      <c r="B62" s="8" t="n">
        <v>10</v>
      </c>
      <c r="C62" s="8" t="s">
        <v>41</v>
      </c>
      <c r="D62" s="8" t="s">
        <v>42</v>
      </c>
      <c r="E62" s="9" t="n">
        <v>117.8</v>
      </c>
      <c r="F62" s="9" t="n">
        <v>123.17</v>
      </c>
      <c r="G62" s="9" t="n">
        <v>128.65</v>
      </c>
      <c r="H62" s="9" t="n">
        <v>153.45</v>
      </c>
      <c r="I62" s="9" t="n">
        <v>155.25</v>
      </c>
      <c r="J62" s="9" t="n">
        <v>158.36</v>
      </c>
    </row>
    <row r="63" customFormat="false" ht="15" hidden="false" customHeight="false" outlineLevel="0" collapsed="false">
      <c r="A63" s="8" t="s">
        <v>59</v>
      </c>
      <c r="B63" s="8" t="n">
        <v>11</v>
      </c>
      <c r="C63" s="8" t="s">
        <v>43</v>
      </c>
      <c r="D63" s="8" t="s">
        <v>44</v>
      </c>
      <c r="E63" s="9" t="n">
        <v>25.78</v>
      </c>
      <c r="F63" s="9" t="n">
        <v>26.42</v>
      </c>
      <c r="G63" s="9" t="n">
        <v>27.01</v>
      </c>
      <c r="H63" s="9" t="n">
        <v>28.71</v>
      </c>
      <c r="I63" s="9" t="n">
        <v>29.37</v>
      </c>
      <c r="J63" s="9" t="n">
        <v>30.54</v>
      </c>
    </row>
    <row r="64" customFormat="false" ht="15" hidden="false" customHeight="false" outlineLevel="0" collapsed="false">
      <c r="A64" s="8" t="s">
        <v>59</v>
      </c>
      <c r="B64" s="8" t="n">
        <v>12</v>
      </c>
      <c r="C64" s="8" t="s">
        <v>45</v>
      </c>
      <c r="D64" s="8" t="s">
        <v>46</v>
      </c>
      <c r="E64" s="9" t="n">
        <v>75.9</v>
      </c>
      <c r="F64" s="9" t="n">
        <v>77.49</v>
      </c>
      <c r="G64" s="9" t="n">
        <v>80.8</v>
      </c>
      <c r="H64" s="9" t="n">
        <v>80.82</v>
      </c>
      <c r="I64" s="9" t="n">
        <v>84.29</v>
      </c>
      <c r="J64" s="9" t="n">
        <v>88.5</v>
      </c>
    </row>
    <row r="65" customFormat="false" ht="15" hidden="false" customHeight="false" outlineLevel="0" collapsed="false">
      <c r="A65" s="8" t="s">
        <v>59</v>
      </c>
      <c r="B65" s="8" t="n">
        <v>13</v>
      </c>
      <c r="C65" s="8" t="s">
        <v>47</v>
      </c>
      <c r="D65" s="8" t="s">
        <v>48</v>
      </c>
      <c r="E65" s="9" t="n">
        <v>0.03</v>
      </c>
      <c r="F65" s="9" t="n">
        <v>0.03</v>
      </c>
      <c r="G65" s="9" t="n">
        <v>0.03</v>
      </c>
      <c r="H65" s="9" t="n">
        <v>0.03</v>
      </c>
      <c r="I65" s="9" t="n">
        <v>0.03</v>
      </c>
      <c r="J65" s="9" t="n">
        <v>0.04</v>
      </c>
    </row>
    <row r="66" customFormat="false" ht="15" hidden="false" customHeight="false" outlineLevel="0" collapsed="false">
      <c r="A66" s="8" t="s">
        <v>59</v>
      </c>
      <c r="B66" s="8" t="n">
        <v>14</v>
      </c>
      <c r="C66" s="8" t="s">
        <v>49</v>
      </c>
      <c r="D66" s="8" t="s">
        <v>50</v>
      </c>
      <c r="E66" s="9" t="n">
        <v>220.15</v>
      </c>
      <c r="F66" s="9" t="n">
        <v>225.72</v>
      </c>
      <c r="G66" s="9" t="n">
        <v>232.99</v>
      </c>
      <c r="H66" s="9" t="n">
        <v>240.05</v>
      </c>
      <c r="I66" s="9" t="n">
        <v>257.95</v>
      </c>
      <c r="J66" s="9" t="n">
        <v>256.66</v>
      </c>
    </row>
    <row r="67" customFormat="false" ht="15" hidden="false" customHeight="false" outlineLevel="0" collapsed="false">
      <c r="A67" s="8" t="s">
        <v>59</v>
      </c>
      <c r="B67" s="8" t="n">
        <v>15</v>
      </c>
      <c r="C67" s="8" t="s">
        <v>51</v>
      </c>
      <c r="D67" s="8" t="s">
        <v>52</v>
      </c>
      <c r="E67" s="9" t="n">
        <v>199.8</v>
      </c>
      <c r="F67" s="9" t="n">
        <v>203.08</v>
      </c>
      <c r="G67" s="9" t="n">
        <v>208.01</v>
      </c>
      <c r="H67" s="9" t="n">
        <v>215.93</v>
      </c>
      <c r="I67" s="9" t="n">
        <v>218.3</v>
      </c>
      <c r="J67" s="9" t="n">
        <v>227.03</v>
      </c>
    </row>
    <row r="68" customFormat="false" ht="15" hidden="false" customHeight="false" outlineLevel="0" collapsed="false">
      <c r="A68" s="8" t="s">
        <v>59</v>
      </c>
      <c r="B68" s="8" t="n">
        <v>16</v>
      </c>
      <c r="C68" s="8" t="s">
        <v>53</v>
      </c>
      <c r="D68" s="8" t="s">
        <v>54</v>
      </c>
      <c r="E68" s="9" t="n">
        <v>94.8</v>
      </c>
      <c r="F68" s="9" t="n">
        <v>97.09</v>
      </c>
      <c r="G68" s="9" t="n">
        <v>100.75</v>
      </c>
      <c r="H68" s="9" t="n">
        <v>100.24</v>
      </c>
      <c r="I68" s="9" t="n">
        <v>101.75</v>
      </c>
      <c r="J68" s="9" t="n">
        <v>104.8</v>
      </c>
    </row>
    <row r="69" customFormat="false" ht="15" hidden="false" customHeight="false" outlineLevel="0" collapsed="false">
      <c r="A69" s="8" t="s">
        <v>59</v>
      </c>
      <c r="B69" s="8" t="n">
        <v>17</v>
      </c>
      <c r="C69" s="8" t="s">
        <v>55</v>
      </c>
      <c r="D69" s="8" t="s">
        <v>56</v>
      </c>
      <c r="E69" s="9" t="n">
        <v>20.45</v>
      </c>
      <c r="F69" s="9" t="n">
        <v>21.09</v>
      </c>
      <c r="G69" s="9" t="n">
        <v>22.18</v>
      </c>
      <c r="H69" s="9" t="n">
        <v>22.31</v>
      </c>
      <c r="I69" s="9" t="n">
        <v>23.6</v>
      </c>
      <c r="J69" s="9" t="n">
        <v>24.54</v>
      </c>
    </row>
    <row r="70" customFormat="false" ht="15" hidden="false" customHeight="false" outlineLevel="0" collapsed="false">
      <c r="A70" s="8" t="s">
        <v>60</v>
      </c>
      <c r="B70" s="8" t="n">
        <v>1</v>
      </c>
      <c r="C70" s="8" t="s">
        <v>23</v>
      </c>
      <c r="D70" s="8" t="s">
        <v>24</v>
      </c>
      <c r="E70" s="9" t="n">
        <v>629.89</v>
      </c>
      <c r="F70" s="9" t="n">
        <v>634.7</v>
      </c>
      <c r="G70" s="9" t="n">
        <v>645.37</v>
      </c>
      <c r="H70" s="9" t="n">
        <v>655.25</v>
      </c>
      <c r="I70" s="9" t="n">
        <v>658.98</v>
      </c>
      <c r="J70" s="9" t="n">
        <v>681.98</v>
      </c>
    </row>
    <row r="71" customFormat="false" ht="15" hidden="false" customHeight="false" outlineLevel="0" collapsed="false">
      <c r="A71" s="8" t="s">
        <v>60</v>
      </c>
      <c r="B71" s="8" t="n">
        <v>2</v>
      </c>
      <c r="C71" s="8" t="s">
        <v>25</v>
      </c>
      <c r="D71" s="8" t="s">
        <v>26</v>
      </c>
      <c r="E71" s="9" t="n">
        <v>9106.8</v>
      </c>
      <c r="F71" s="9" t="n">
        <v>9056.28</v>
      </c>
      <c r="G71" s="9" t="n">
        <v>8991.52</v>
      </c>
      <c r="H71" s="9" t="n">
        <v>8950</v>
      </c>
      <c r="I71" s="9" t="n">
        <v>8900</v>
      </c>
      <c r="J71" s="9" t="n">
        <v>8950</v>
      </c>
    </row>
    <row r="72" customFormat="false" ht="15" hidden="false" customHeight="false" outlineLevel="0" collapsed="false">
      <c r="A72" s="8" t="s">
        <v>60</v>
      </c>
      <c r="B72" s="8" t="n">
        <v>3</v>
      </c>
      <c r="C72" s="8" t="s">
        <v>27</v>
      </c>
      <c r="D72" s="8" t="s">
        <v>28</v>
      </c>
      <c r="E72" s="9" t="n">
        <v>15.73</v>
      </c>
      <c r="F72" s="9" t="n">
        <v>16.08</v>
      </c>
      <c r="G72" s="9" t="n">
        <v>16.58</v>
      </c>
      <c r="H72" s="9" t="n">
        <v>16.99</v>
      </c>
      <c r="I72" s="9" t="n">
        <v>18.31</v>
      </c>
      <c r="J72" s="9" t="n">
        <v>19.68</v>
      </c>
    </row>
    <row r="73" customFormat="false" ht="15" hidden="false" customHeight="false" outlineLevel="0" collapsed="false">
      <c r="A73" s="8" t="s">
        <v>60</v>
      </c>
      <c r="B73" s="8" t="n">
        <v>4</v>
      </c>
      <c r="C73" s="8" t="s">
        <v>29</v>
      </c>
      <c r="D73" s="8" t="s">
        <v>30</v>
      </c>
      <c r="E73" s="9" t="n">
        <v>6.51</v>
      </c>
      <c r="F73" s="9" t="n">
        <v>6.7</v>
      </c>
      <c r="G73" s="9" t="n">
        <v>6.89</v>
      </c>
      <c r="H73" s="9" t="n">
        <v>7.44</v>
      </c>
      <c r="I73" s="9" t="n">
        <v>7.98</v>
      </c>
      <c r="J73" s="9" t="n">
        <v>8.81</v>
      </c>
    </row>
    <row r="74" customFormat="false" ht="15" hidden="false" customHeight="false" outlineLevel="0" collapsed="false">
      <c r="A74" s="8" t="s">
        <v>60</v>
      </c>
      <c r="B74" s="8" t="n">
        <v>5</v>
      </c>
      <c r="C74" s="8" t="s">
        <v>31</v>
      </c>
      <c r="D74" s="8" t="s">
        <v>32</v>
      </c>
      <c r="E74" s="9" t="n">
        <v>0.33</v>
      </c>
      <c r="F74" s="9" t="n">
        <v>0.32</v>
      </c>
      <c r="G74" s="9" t="n">
        <v>0.34</v>
      </c>
      <c r="H74" s="9" t="n">
        <v>0.35</v>
      </c>
      <c r="I74" s="9" t="n">
        <v>0.36</v>
      </c>
      <c r="J74" s="9" t="n">
        <v>0.4</v>
      </c>
    </row>
    <row r="75" customFormat="false" ht="15" hidden="false" customHeight="false" outlineLevel="0" collapsed="false">
      <c r="A75" s="8" t="s">
        <v>60</v>
      </c>
      <c r="B75" s="8" t="n">
        <v>6</v>
      </c>
      <c r="C75" s="8" t="s">
        <v>33</v>
      </c>
      <c r="D75" s="8" t="s">
        <v>34</v>
      </c>
      <c r="E75" s="9" t="n">
        <v>626.54</v>
      </c>
      <c r="F75" s="9" t="n">
        <v>667.75</v>
      </c>
      <c r="G75" s="9" t="n">
        <v>686.89</v>
      </c>
      <c r="H75" s="9" t="n">
        <v>758.94</v>
      </c>
      <c r="I75" s="9" t="n">
        <v>802.58</v>
      </c>
      <c r="J75" s="9" t="n">
        <v>845.12</v>
      </c>
    </row>
    <row r="76" customFormat="false" ht="15" hidden="false" customHeight="false" outlineLevel="0" collapsed="false">
      <c r="A76" s="8" t="s">
        <v>60</v>
      </c>
      <c r="B76" s="8" t="n">
        <v>7</v>
      </c>
      <c r="C76" s="8" t="s">
        <v>35</v>
      </c>
      <c r="D76" s="8" t="s">
        <v>36</v>
      </c>
      <c r="E76" s="9" t="n">
        <v>256.05</v>
      </c>
      <c r="F76" s="9" t="n">
        <v>262.87</v>
      </c>
      <c r="G76" s="9" t="n">
        <v>289.56</v>
      </c>
      <c r="H76" s="9" t="n">
        <v>306.56</v>
      </c>
      <c r="I76" s="9" t="n">
        <v>323.69</v>
      </c>
      <c r="J76" s="9" t="n">
        <v>348.13</v>
      </c>
    </row>
    <row r="77" customFormat="false" ht="15" hidden="false" customHeight="false" outlineLevel="0" collapsed="false">
      <c r="A77" s="8" t="s">
        <v>60</v>
      </c>
      <c r="B77" s="8" t="n">
        <v>8</v>
      </c>
      <c r="C77" s="8" t="s">
        <v>37</v>
      </c>
      <c r="D77" s="8" t="s">
        <v>38</v>
      </c>
      <c r="E77" s="9" t="n">
        <v>13.37</v>
      </c>
      <c r="F77" s="9" t="n">
        <v>14.27</v>
      </c>
      <c r="G77" s="9" t="n">
        <v>15.76</v>
      </c>
      <c r="H77" s="9" t="n">
        <v>18.11</v>
      </c>
      <c r="I77" s="9" t="n">
        <v>18.57</v>
      </c>
      <c r="J77" s="9" t="n">
        <v>19.9</v>
      </c>
    </row>
    <row r="78" customFormat="false" ht="15" hidden="false" customHeight="false" outlineLevel="0" collapsed="false">
      <c r="A78" s="8" t="s">
        <v>60</v>
      </c>
      <c r="B78" s="8" t="n">
        <v>9</v>
      </c>
      <c r="C78" s="8" t="s">
        <v>39</v>
      </c>
      <c r="D78" s="8" t="s">
        <v>40</v>
      </c>
      <c r="E78" s="9" t="n">
        <v>10.74</v>
      </c>
      <c r="F78" s="9" t="n">
        <v>11.64</v>
      </c>
      <c r="G78" s="9" t="n">
        <v>12.91</v>
      </c>
      <c r="H78" s="9" t="n">
        <v>16.44</v>
      </c>
      <c r="I78" s="9" t="n">
        <v>17.13</v>
      </c>
      <c r="J78" s="9" t="n">
        <v>17.62</v>
      </c>
    </row>
    <row r="79" customFormat="false" ht="15" hidden="false" customHeight="false" outlineLevel="0" collapsed="false">
      <c r="A79" s="8" t="s">
        <v>60</v>
      </c>
      <c r="B79" s="8" t="n">
        <v>10</v>
      </c>
      <c r="C79" s="8" t="s">
        <v>41</v>
      </c>
      <c r="D79" s="8" t="s">
        <v>42</v>
      </c>
      <c r="E79" s="9" t="n">
        <v>62.69</v>
      </c>
      <c r="F79" s="9" t="n">
        <v>66.7</v>
      </c>
      <c r="G79" s="9" t="n">
        <v>68.81</v>
      </c>
      <c r="H79" s="9" t="n">
        <v>82.54</v>
      </c>
      <c r="I79" s="9" t="n">
        <v>82.49</v>
      </c>
      <c r="J79" s="9" t="n">
        <v>80.3</v>
      </c>
    </row>
    <row r="80" customFormat="false" ht="15" hidden="false" customHeight="false" outlineLevel="0" collapsed="false">
      <c r="A80" s="8" t="s">
        <v>60</v>
      </c>
      <c r="B80" s="8" t="n">
        <v>11</v>
      </c>
      <c r="C80" s="8" t="s">
        <v>43</v>
      </c>
      <c r="D80" s="8" t="s">
        <v>44</v>
      </c>
      <c r="E80" s="9" t="n">
        <v>16.42</v>
      </c>
      <c r="F80" s="9" t="n">
        <v>16.65</v>
      </c>
      <c r="G80" s="9" t="n">
        <v>16.86</v>
      </c>
      <c r="H80" s="9" t="n">
        <v>18.32</v>
      </c>
      <c r="I80" s="9" t="n">
        <v>19.68</v>
      </c>
      <c r="J80" s="9" t="n">
        <v>20.49</v>
      </c>
    </row>
    <row r="81" customFormat="false" ht="15" hidden="false" customHeight="false" outlineLevel="0" collapsed="false">
      <c r="A81" s="8" t="s">
        <v>60</v>
      </c>
      <c r="B81" s="8" t="n">
        <v>12</v>
      </c>
      <c r="C81" s="8" t="s">
        <v>45</v>
      </c>
      <c r="D81" s="8" t="s">
        <v>46</v>
      </c>
      <c r="E81" s="9" t="n">
        <v>70.85</v>
      </c>
      <c r="F81" s="9" t="n">
        <v>73.99</v>
      </c>
      <c r="G81" s="9" t="n">
        <v>76.35</v>
      </c>
      <c r="H81" s="9" t="n">
        <v>80.36</v>
      </c>
      <c r="I81" s="9" t="n">
        <v>84.85</v>
      </c>
      <c r="J81" s="9" t="n">
        <v>89.7</v>
      </c>
    </row>
    <row r="82" customFormat="false" ht="15" hidden="false" customHeight="false" outlineLevel="0" collapsed="false">
      <c r="A82" s="8" t="s">
        <v>60</v>
      </c>
      <c r="B82" s="8" t="n">
        <v>13</v>
      </c>
      <c r="C82" s="8" t="s">
        <v>47</v>
      </c>
      <c r="D82" s="8" t="s">
        <v>48</v>
      </c>
      <c r="E82" s="9" t="n">
        <v>0.02</v>
      </c>
      <c r="F82" s="9" t="n">
        <v>0.02</v>
      </c>
      <c r="G82" s="9" t="n">
        <v>0.02</v>
      </c>
      <c r="H82" s="9" t="n">
        <v>0.02</v>
      </c>
      <c r="I82" s="9" t="n">
        <v>0.02</v>
      </c>
      <c r="J82" s="9" t="n">
        <v>0.03</v>
      </c>
    </row>
    <row r="83" customFormat="false" ht="15" hidden="false" customHeight="false" outlineLevel="0" collapsed="false">
      <c r="A83" s="8" t="s">
        <v>60</v>
      </c>
      <c r="B83" s="8" t="n">
        <v>14</v>
      </c>
      <c r="C83" s="8" t="s">
        <v>49</v>
      </c>
      <c r="D83" s="8" t="s">
        <v>50</v>
      </c>
      <c r="E83" s="9" t="n">
        <v>232.44</v>
      </c>
      <c r="F83" s="9" t="n">
        <v>223.73</v>
      </c>
      <c r="G83" s="9" t="n">
        <v>230.61</v>
      </c>
      <c r="H83" s="9" t="n">
        <v>242.44</v>
      </c>
      <c r="I83" s="9" t="n">
        <v>285.74</v>
      </c>
      <c r="J83" s="9" t="n">
        <v>281.57</v>
      </c>
    </row>
    <row r="84" customFormat="false" ht="15" hidden="false" customHeight="false" outlineLevel="0" collapsed="false">
      <c r="A84" s="8" t="s">
        <v>60</v>
      </c>
      <c r="B84" s="8" t="n">
        <v>15</v>
      </c>
      <c r="C84" s="8" t="s">
        <v>51</v>
      </c>
      <c r="D84" s="8" t="s">
        <v>52</v>
      </c>
      <c r="E84" s="9" t="n">
        <v>23.73</v>
      </c>
      <c r="F84" s="9" t="n">
        <v>23.29</v>
      </c>
      <c r="G84" s="9" t="n">
        <v>24.19</v>
      </c>
      <c r="H84" s="9" t="n">
        <v>25.13</v>
      </c>
      <c r="I84" s="9" t="n">
        <v>26.12</v>
      </c>
      <c r="J84" s="9" t="n">
        <v>27.55</v>
      </c>
    </row>
    <row r="85" customFormat="false" ht="15" hidden="false" customHeight="false" outlineLevel="0" collapsed="false">
      <c r="A85" s="8" t="s">
        <v>60</v>
      </c>
      <c r="B85" s="8" t="n">
        <v>16</v>
      </c>
      <c r="C85" s="8" t="s">
        <v>53</v>
      </c>
      <c r="D85" s="8" t="s">
        <v>54</v>
      </c>
      <c r="E85" s="9" t="n">
        <v>25.42</v>
      </c>
      <c r="F85" s="9" t="n">
        <v>26.41</v>
      </c>
      <c r="G85" s="9" t="n">
        <v>27.85</v>
      </c>
      <c r="H85" s="9" t="n">
        <v>26.51</v>
      </c>
      <c r="I85" s="9" t="n">
        <v>31.71</v>
      </c>
      <c r="J85" s="9" t="n">
        <v>32.55</v>
      </c>
    </row>
    <row r="86" customFormat="false" ht="15" hidden="false" customHeight="false" outlineLevel="0" collapsed="false">
      <c r="A86" s="8" t="s">
        <v>60</v>
      </c>
      <c r="B86" s="8" t="n">
        <v>17</v>
      </c>
      <c r="C86" s="8" t="s">
        <v>55</v>
      </c>
      <c r="D86" s="8" t="s">
        <v>56</v>
      </c>
      <c r="E86" s="9" t="n">
        <v>6.92</v>
      </c>
      <c r="F86" s="9" t="n">
        <v>7.09</v>
      </c>
      <c r="G86" s="9" t="n">
        <v>7.7</v>
      </c>
      <c r="H86" s="9" t="n">
        <v>9.36</v>
      </c>
      <c r="I86" s="9" t="n">
        <v>10.85</v>
      </c>
      <c r="J86" s="9" t="n">
        <v>11.06</v>
      </c>
    </row>
    <row r="87" customFormat="false" ht="15" hidden="false" customHeight="false" outlineLevel="0" collapsed="false">
      <c r="A87" s="8" t="s">
        <v>61</v>
      </c>
      <c r="B87" s="8" t="n">
        <v>1</v>
      </c>
      <c r="C87" s="8" t="s">
        <v>23</v>
      </c>
      <c r="D87" s="8" t="s">
        <v>24</v>
      </c>
      <c r="E87" s="9" t="n">
        <v>1110.81</v>
      </c>
      <c r="F87" s="9" t="n">
        <v>1107.09</v>
      </c>
      <c r="G87" s="9" t="n">
        <v>1156.74</v>
      </c>
      <c r="H87" s="9" t="n">
        <v>1174.44</v>
      </c>
      <c r="I87" s="9" t="n">
        <v>1181.13</v>
      </c>
      <c r="J87" s="9" t="n">
        <v>1222.35</v>
      </c>
    </row>
    <row r="88" customFormat="false" ht="15" hidden="false" customHeight="false" outlineLevel="0" collapsed="false">
      <c r="A88" s="8" t="s">
        <v>61</v>
      </c>
      <c r="B88" s="8" t="n">
        <v>2</v>
      </c>
      <c r="C88" s="8" t="s">
        <v>25</v>
      </c>
      <c r="D88" s="8" t="s">
        <v>26</v>
      </c>
      <c r="E88" s="9" t="n">
        <v>67.84</v>
      </c>
      <c r="F88" s="9" t="n">
        <v>73.2</v>
      </c>
      <c r="G88" s="9" t="n">
        <v>77.86</v>
      </c>
      <c r="H88" s="9" t="n">
        <v>75.8</v>
      </c>
      <c r="I88" s="9" t="n">
        <v>69.86</v>
      </c>
      <c r="J88" s="9" t="n">
        <v>81.05</v>
      </c>
    </row>
    <row r="89" customFormat="false" ht="15" hidden="false" customHeight="false" outlineLevel="0" collapsed="false">
      <c r="A89" s="8" t="s">
        <v>61</v>
      </c>
      <c r="B89" s="8" t="n">
        <v>3</v>
      </c>
      <c r="C89" s="8" t="s">
        <v>27</v>
      </c>
      <c r="D89" s="8" t="s">
        <v>28</v>
      </c>
      <c r="E89" s="9" t="n">
        <v>61411.92</v>
      </c>
      <c r="F89" s="9" t="n">
        <v>64672.84</v>
      </c>
      <c r="G89" s="9" t="n">
        <v>68824.75</v>
      </c>
      <c r="H89" s="9" t="n">
        <v>71613.45</v>
      </c>
      <c r="I89" s="9" t="n">
        <v>77014.21</v>
      </c>
      <c r="J89" s="9" t="n">
        <v>82805.68</v>
      </c>
    </row>
    <row r="90" customFormat="false" ht="15" hidden="false" customHeight="false" outlineLevel="0" collapsed="false">
      <c r="A90" s="8" t="s">
        <v>61</v>
      </c>
      <c r="B90" s="8" t="n">
        <v>4</v>
      </c>
      <c r="C90" s="8" t="s">
        <v>29</v>
      </c>
      <c r="D90" s="8" t="s">
        <v>30</v>
      </c>
      <c r="E90" s="9" t="n">
        <v>1456.72</v>
      </c>
      <c r="F90" s="9" t="n">
        <v>1506.71</v>
      </c>
      <c r="G90" s="9" t="n">
        <v>1745.97</v>
      </c>
      <c r="H90" s="9" t="n">
        <v>1886.17</v>
      </c>
      <c r="I90" s="9" t="n">
        <v>2021.97</v>
      </c>
      <c r="J90" s="9" t="n">
        <v>2231.65</v>
      </c>
    </row>
    <row r="91" customFormat="false" ht="15" hidden="false" customHeight="false" outlineLevel="0" collapsed="false">
      <c r="A91" s="8" t="s">
        <v>61</v>
      </c>
      <c r="B91" s="8" t="n">
        <v>5</v>
      </c>
      <c r="C91" s="8" t="s">
        <v>31</v>
      </c>
      <c r="D91" s="8" t="s">
        <v>32</v>
      </c>
      <c r="E91" s="9" t="n">
        <v>204.17</v>
      </c>
      <c r="F91" s="9" t="n">
        <v>210.75</v>
      </c>
      <c r="G91" s="9" t="n">
        <v>219.33</v>
      </c>
      <c r="H91" s="9" t="n">
        <v>229.09</v>
      </c>
      <c r="I91" s="9" t="n">
        <v>233.63</v>
      </c>
      <c r="J91" s="9" t="n">
        <v>260.96</v>
      </c>
    </row>
    <row r="92" customFormat="false" ht="15" hidden="false" customHeight="false" outlineLevel="0" collapsed="false">
      <c r="A92" s="8" t="s">
        <v>61</v>
      </c>
      <c r="B92" s="8" t="n">
        <v>6</v>
      </c>
      <c r="C92" s="8" t="s">
        <v>33</v>
      </c>
      <c r="D92" s="8" t="s">
        <v>34</v>
      </c>
      <c r="E92" s="9" t="n">
        <v>20507.5</v>
      </c>
      <c r="F92" s="9" t="n">
        <v>21880.62</v>
      </c>
      <c r="G92" s="9" t="n">
        <v>22840.39</v>
      </c>
      <c r="H92" s="9" t="n">
        <v>25236.35</v>
      </c>
      <c r="I92" s="9" t="n">
        <v>27659</v>
      </c>
      <c r="J92" s="9" t="n">
        <v>29124.93</v>
      </c>
    </row>
    <row r="93" customFormat="false" ht="15" hidden="false" customHeight="false" outlineLevel="0" collapsed="false">
      <c r="A93" s="8" t="s">
        <v>61</v>
      </c>
      <c r="B93" s="8" t="n">
        <v>7</v>
      </c>
      <c r="C93" s="8" t="s">
        <v>35</v>
      </c>
      <c r="D93" s="8" t="s">
        <v>36</v>
      </c>
      <c r="E93" s="9" t="n">
        <v>6073.38</v>
      </c>
      <c r="F93" s="9" t="n">
        <v>6219.69</v>
      </c>
      <c r="G93" s="9" t="n">
        <v>6657.45</v>
      </c>
      <c r="H93" s="9" t="n">
        <v>7520.12</v>
      </c>
      <c r="I93" s="9" t="n">
        <v>8578.2</v>
      </c>
      <c r="J93" s="9" t="n">
        <v>9225.89</v>
      </c>
    </row>
    <row r="94" customFormat="false" ht="15" hidden="false" customHeight="false" outlineLevel="0" collapsed="false">
      <c r="A94" s="8" t="s">
        <v>61</v>
      </c>
      <c r="B94" s="8" t="n">
        <v>8</v>
      </c>
      <c r="C94" s="8" t="s">
        <v>37</v>
      </c>
      <c r="D94" s="8" t="s">
        <v>38</v>
      </c>
      <c r="E94" s="9" t="n">
        <v>1425.89</v>
      </c>
      <c r="F94" s="9" t="n">
        <v>1276.5</v>
      </c>
      <c r="G94" s="9" t="n">
        <v>1871.81</v>
      </c>
      <c r="H94" s="9" t="n">
        <v>2151.08</v>
      </c>
      <c r="I94" s="9" t="n">
        <v>2205.07</v>
      </c>
      <c r="J94" s="9" t="n">
        <v>2363.39</v>
      </c>
    </row>
    <row r="95" customFormat="false" ht="15" hidden="false" customHeight="false" outlineLevel="0" collapsed="false">
      <c r="A95" s="8" t="s">
        <v>61</v>
      </c>
      <c r="B95" s="8" t="n">
        <v>9</v>
      </c>
      <c r="C95" s="8" t="s">
        <v>39</v>
      </c>
      <c r="D95" s="8" t="s">
        <v>40</v>
      </c>
      <c r="E95" s="9" t="n">
        <v>1521.45</v>
      </c>
      <c r="F95" s="9" t="n">
        <v>1423.41</v>
      </c>
      <c r="G95" s="9" t="n">
        <v>2117.71</v>
      </c>
      <c r="H95" s="9" t="n">
        <v>2696.06</v>
      </c>
      <c r="I95" s="9" t="n">
        <v>2809.56</v>
      </c>
      <c r="J95" s="9" t="n">
        <v>2890.19</v>
      </c>
    </row>
    <row r="96" customFormat="false" ht="15" hidden="false" customHeight="false" outlineLevel="0" collapsed="false">
      <c r="A96" s="8" t="s">
        <v>61</v>
      </c>
      <c r="B96" s="8" t="n">
        <v>10</v>
      </c>
      <c r="C96" s="8" t="s">
        <v>41</v>
      </c>
      <c r="D96" s="8" t="s">
        <v>42</v>
      </c>
      <c r="E96" s="9" t="n">
        <v>3950.89</v>
      </c>
      <c r="F96" s="9" t="n">
        <v>4306.47</v>
      </c>
      <c r="G96" s="9" t="n">
        <v>4407.71</v>
      </c>
      <c r="H96" s="9" t="n">
        <v>5287.49</v>
      </c>
      <c r="I96" s="9" t="n">
        <v>5284.32</v>
      </c>
      <c r="J96" s="9" t="n">
        <v>5144.38</v>
      </c>
    </row>
    <row r="97" customFormat="false" ht="15" hidden="false" customHeight="false" outlineLevel="0" collapsed="false">
      <c r="A97" s="8" t="s">
        <v>61</v>
      </c>
      <c r="B97" s="8" t="n">
        <v>11</v>
      </c>
      <c r="C97" s="8" t="s">
        <v>43</v>
      </c>
      <c r="D97" s="8" t="s">
        <v>44</v>
      </c>
      <c r="E97" s="9" t="n">
        <v>3849.27</v>
      </c>
      <c r="F97" s="9" t="n">
        <v>3860.47</v>
      </c>
      <c r="G97" s="9" t="n">
        <v>4042.36</v>
      </c>
      <c r="H97" s="9" t="n">
        <v>4392.07</v>
      </c>
      <c r="I97" s="9" t="n">
        <v>4717.52</v>
      </c>
      <c r="J97" s="9" t="n">
        <v>4911.41</v>
      </c>
    </row>
    <row r="98" customFormat="false" ht="15" hidden="false" customHeight="false" outlineLevel="0" collapsed="false">
      <c r="A98" s="8" t="s">
        <v>61</v>
      </c>
      <c r="B98" s="8" t="n">
        <v>12</v>
      </c>
      <c r="C98" s="8" t="s">
        <v>45</v>
      </c>
      <c r="D98" s="8" t="s">
        <v>46</v>
      </c>
      <c r="E98" s="9" t="n">
        <v>1233.88</v>
      </c>
      <c r="F98" s="9" t="n">
        <v>1282.12</v>
      </c>
      <c r="G98" s="9" t="n">
        <v>1342.55</v>
      </c>
      <c r="H98" s="9" t="n">
        <v>1413.03</v>
      </c>
      <c r="I98" s="9" t="n">
        <v>1492.02</v>
      </c>
      <c r="J98" s="9" t="n">
        <v>1577.21</v>
      </c>
    </row>
    <row r="99" customFormat="false" ht="15" hidden="false" customHeight="false" outlineLevel="0" collapsed="false">
      <c r="A99" s="8" t="s">
        <v>61</v>
      </c>
      <c r="B99" s="8" t="n">
        <v>13</v>
      </c>
      <c r="C99" s="8" t="s">
        <v>47</v>
      </c>
      <c r="D99" s="8" t="s">
        <v>48</v>
      </c>
      <c r="E99" s="9" t="n">
        <v>2.81</v>
      </c>
      <c r="F99" s="9" t="n">
        <v>3.08</v>
      </c>
      <c r="G99" s="9" t="n">
        <v>3.48</v>
      </c>
      <c r="H99" s="9" t="n">
        <v>4.12</v>
      </c>
      <c r="I99" s="9" t="n">
        <v>4.33</v>
      </c>
      <c r="J99" s="9" t="n">
        <v>5.05</v>
      </c>
    </row>
    <row r="100" customFormat="false" ht="15" hidden="false" customHeight="false" outlineLevel="0" collapsed="false">
      <c r="A100" s="8" t="s">
        <v>61</v>
      </c>
      <c r="B100" s="8" t="n">
        <v>14</v>
      </c>
      <c r="C100" s="8" t="s">
        <v>49</v>
      </c>
      <c r="D100" s="8" t="s">
        <v>50</v>
      </c>
      <c r="E100" s="9" t="n">
        <v>1288.46</v>
      </c>
      <c r="F100" s="9" t="n">
        <v>1306.76</v>
      </c>
      <c r="G100" s="9" t="n">
        <v>1320.65</v>
      </c>
      <c r="H100" s="9" t="n">
        <v>1388.4</v>
      </c>
      <c r="I100" s="9" t="n">
        <v>1636.37</v>
      </c>
      <c r="J100" s="9" t="n">
        <v>1612.46</v>
      </c>
    </row>
    <row r="101" customFormat="false" ht="15" hidden="false" customHeight="false" outlineLevel="0" collapsed="false">
      <c r="A101" s="8" t="s">
        <v>61</v>
      </c>
      <c r="B101" s="8" t="n">
        <v>15</v>
      </c>
      <c r="C101" s="8" t="s">
        <v>51</v>
      </c>
      <c r="D101" s="8" t="s">
        <v>52</v>
      </c>
      <c r="E101" s="9" t="n">
        <v>954.48</v>
      </c>
      <c r="F101" s="9" t="n">
        <v>915.56</v>
      </c>
      <c r="G101" s="9" t="n">
        <v>920.66</v>
      </c>
      <c r="H101" s="9" t="n">
        <v>956.29</v>
      </c>
      <c r="I101" s="9" t="n">
        <v>993.97</v>
      </c>
      <c r="J101" s="9" t="n">
        <v>1048.44</v>
      </c>
    </row>
    <row r="102" customFormat="false" ht="15" hidden="false" customHeight="false" outlineLevel="0" collapsed="false">
      <c r="A102" s="8" t="s">
        <v>61</v>
      </c>
      <c r="B102" s="8" t="n">
        <v>16</v>
      </c>
      <c r="C102" s="8" t="s">
        <v>53</v>
      </c>
      <c r="D102" s="8" t="s">
        <v>54</v>
      </c>
      <c r="E102" s="9" t="n">
        <v>816.62</v>
      </c>
      <c r="F102" s="9" t="n">
        <v>881.29</v>
      </c>
      <c r="G102" s="9" t="n">
        <v>939.46</v>
      </c>
      <c r="H102" s="9" t="n">
        <v>894.18</v>
      </c>
      <c r="I102" s="9" t="n">
        <v>1069.44</v>
      </c>
      <c r="J102" s="9" t="n">
        <v>1097.99</v>
      </c>
    </row>
    <row r="103" customFormat="false" ht="15" hidden="false" customHeight="false" outlineLevel="0" collapsed="false">
      <c r="A103" s="8" t="s">
        <v>61</v>
      </c>
      <c r="B103" s="8" t="n">
        <v>17</v>
      </c>
      <c r="C103" s="8" t="s">
        <v>55</v>
      </c>
      <c r="D103" s="8" t="s">
        <v>56</v>
      </c>
      <c r="E103" s="9" t="n">
        <v>151.55</v>
      </c>
      <c r="F103" s="9" t="n">
        <v>142.37</v>
      </c>
      <c r="G103" s="9" t="n">
        <v>176.31</v>
      </c>
      <c r="H103" s="9" t="n">
        <v>214.24</v>
      </c>
      <c r="I103" s="9" t="n">
        <v>248.41</v>
      </c>
      <c r="J103" s="9" t="n">
        <v>253.28</v>
      </c>
    </row>
    <row r="104" customFormat="false" ht="15" hidden="false" customHeight="false" outlineLevel="0" collapsed="false">
      <c r="A104" s="8" t="s">
        <v>62</v>
      </c>
      <c r="B104" s="8" t="n">
        <v>1</v>
      </c>
      <c r="C104" s="8" t="s">
        <v>23</v>
      </c>
      <c r="D104" s="8" t="s">
        <v>24</v>
      </c>
      <c r="E104" s="9" t="n">
        <v>108.1</v>
      </c>
      <c r="F104" s="9" t="n">
        <v>109.04</v>
      </c>
      <c r="G104" s="9" t="n">
        <v>111.98</v>
      </c>
      <c r="H104" s="9" t="n">
        <v>114.56</v>
      </c>
      <c r="I104" s="9" t="n">
        <v>116.74</v>
      </c>
      <c r="J104" s="9" t="n">
        <v>120.81</v>
      </c>
    </row>
    <row r="105" customFormat="false" ht="15" hidden="false" customHeight="false" outlineLevel="0" collapsed="false">
      <c r="A105" s="8" t="s">
        <v>62</v>
      </c>
      <c r="B105" s="8" t="n">
        <v>2</v>
      </c>
      <c r="C105" s="8" t="s">
        <v>25</v>
      </c>
      <c r="D105" s="8" t="s">
        <v>26</v>
      </c>
      <c r="E105" s="9" t="n">
        <v>1.1</v>
      </c>
      <c r="F105" s="9" t="n">
        <v>0.99</v>
      </c>
      <c r="G105" s="9" t="n">
        <v>1.01</v>
      </c>
      <c r="H105" s="9" t="n">
        <v>0.9</v>
      </c>
      <c r="I105" s="9" t="n">
        <v>0.86</v>
      </c>
      <c r="J105" s="9" t="n">
        <v>1</v>
      </c>
    </row>
    <row r="106" customFormat="false" ht="15" hidden="false" customHeight="false" outlineLevel="0" collapsed="false">
      <c r="A106" s="8" t="s">
        <v>62</v>
      </c>
      <c r="B106" s="8" t="n">
        <v>3</v>
      </c>
      <c r="C106" s="8" t="s">
        <v>27</v>
      </c>
      <c r="D106" s="8" t="s">
        <v>28</v>
      </c>
      <c r="E106" s="9" t="n">
        <v>961.66</v>
      </c>
      <c r="F106" s="9" t="n">
        <v>964.33</v>
      </c>
      <c r="G106" s="9" t="n">
        <v>986.17</v>
      </c>
      <c r="H106" s="9" t="n">
        <v>1013.04</v>
      </c>
      <c r="I106" s="9" t="n">
        <v>1019.59</v>
      </c>
      <c r="J106" s="9" t="n">
        <v>1096.26</v>
      </c>
    </row>
    <row r="107" customFormat="false" ht="15" hidden="false" customHeight="false" outlineLevel="0" collapsed="false">
      <c r="A107" s="8" t="s">
        <v>62</v>
      </c>
      <c r="B107" s="8" t="n">
        <v>4</v>
      </c>
      <c r="C107" s="8" t="s">
        <v>29</v>
      </c>
      <c r="D107" s="8" t="s">
        <v>30</v>
      </c>
      <c r="E107" s="9" t="n">
        <v>36.94</v>
      </c>
      <c r="F107" s="9" t="n">
        <v>36.99</v>
      </c>
      <c r="G107" s="9" t="n">
        <v>38.33</v>
      </c>
      <c r="H107" s="9" t="n">
        <v>41.01</v>
      </c>
      <c r="I107" s="9" t="n">
        <v>43.21</v>
      </c>
      <c r="J107" s="9" t="n">
        <v>47.69</v>
      </c>
    </row>
    <row r="108" customFormat="false" ht="15" hidden="false" customHeight="false" outlineLevel="0" collapsed="false">
      <c r="A108" s="8" t="s">
        <v>62</v>
      </c>
      <c r="B108" s="8" t="n">
        <v>5</v>
      </c>
      <c r="C108" s="8" t="s">
        <v>31</v>
      </c>
      <c r="D108" s="8" t="s">
        <v>32</v>
      </c>
      <c r="E108" s="9" t="n">
        <v>10.32</v>
      </c>
      <c r="F108" s="9" t="n">
        <v>11.15</v>
      </c>
      <c r="G108" s="9" t="n">
        <v>11.45</v>
      </c>
      <c r="H108" s="9" t="n">
        <v>11.92</v>
      </c>
      <c r="I108" s="9" t="n">
        <v>11.78</v>
      </c>
      <c r="J108" s="9" t="n">
        <v>13.16</v>
      </c>
    </row>
    <row r="109" customFormat="false" ht="15" hidden="false" customHeight="false" outlineLevel="0" collapsed="false">
      <c r="A109" s="8" t="s">
        <v>62</v>
      </c>
      <c r="B109" s="8" t="n">
        <v>6</v>
      </c>
      <c r="C109" s="8" t="s">
        <v>33</v>
      </c>
      <c r="D109" s="8" t="s">
        <v>34</v>
      </c>
      <c r="E109" s="9" t="n">
        <v>4397.47</v>
      </c>
      <c r="F109" s="9" t="n">
        <v>4401.93</v>
      </c>
      <c r="G109" s="9" t="n">
        <v>4424.67</v>
      </c>
      <c r="H109" s="9" t="n">
        <v>4449.95</v>
      </c>
      <c r="I109" s="9" t="n">
        <v>4426.05</v>
      </c>
      <c r="J109" s="9" t="n">
        <v>4660.63</v>
      </c>
    </row>
    <row r="110" customFormat="false" ht="15" hidden="false" customHeight="false" outlineLevel="0" collapsed="false">
      <c r="A110" s="8" t="s">
        <v>62</v>
      </c>
      <c r="B110" s="8" t="n">
        <v>7</v>
      </c>
      <c r="C110" s="8" t="s">
        <v>35</v>
      </c>
      <c r="D110" s="8" t="s">
        <v>36</v>
      </c>
      <c r="E110" s="9" t="n">
        <v>3517.63</v>
      </c>
      <c r="F110" s="9" t="n">
        <v>3617.34</v>
      </c>
      <c r="G110" s="9" t="n">
        <v>3789.91</v>
      </c>
      <c r="H110" s="9" t="n">
        <v>4013.63</v>
      </c>
      <c r="I110" s="9" t="n">
        <v>4329.7</v>
      </c>
      <c r="J110" s="9" t="n">
        <v>4656.59</v>
      </c>
    </row>
    <row r="111" customFormat="false" ht="15" hidden="false" customHeight="false" outlineLevel="0" collapsed="false">
      <c r="A111" s="8" t="s">
        <v>62</v>
      </c>
      <c r="B111" s="8" t="n">
        <v>8</v>
      </c>
      <c r="C111" s="8" t="s">
        <v>37</v>
      </c>
      <c r="D111" s="8" t="s">
        <v>38</v>
      </c>
      <c r="E111" s="9" t="n">
        <v>635.53</v>
      </c>
      <c r="F111" s="9" t="n">
        <v>583.19</v>
      </c>
      <c r="G111" s="9" t="n">
        <v>752.33</v>
      </c>
      <c r="H111" s="9" t="n">
        <v>836.72</v>
      </c>
      <c r="I111" s="9" t="n">
        <v>903.8</v>
      </c>
      <c r="J111" s="9" t="n">
        <v>968.7</v>
      </c>
    </row>
    <row r="112" customFormat="false" ht="15" hidden="false" customHeight="false" outlineLevel="0" collapsed="false">
      <c r="A112" s="8" t="s">
        <v>62</v>
      </c>
      <c r="B112" s="8" t="n">
        <v>9</v>
      </c>
      <c r="C112" s="8" t="s">
        <v>39</v>
      </c>
      <c r="D112" s="8" t="s">
        <v>40</v>
      </c>
      <c r="E112" s="9" t="n">
        <v>151.02</v>
      </c>
      <c r="F112" s="9" t="n">
        <v>149.34</v>
      </c>
      <c r="G112" s="9" t="n">
        <v>199.94</v>
      </c>
      <c r="H112" s="9" t="n">
        <v>241.25</v>
      </c>
      <c r="I112" s="9" t="n">
        <v>254.32</v>
      </c>
      <c r="J112" s="9" t="n">
        <v>261.62</v>
      </c>
    </row>
    <row r="113" customFormat="false" ht="15" hidden="false" customHeight="false" outlineLevel="0" collapsed="false">
      <c r="A113" s="8" t="s">
        <v>62</v>
      </c>
      <c r="B113" s="8" t="n">
        <v>10</v>
      </c>
      <c r="C113" s="8" t="s">
        <v>41</v>
      </c>
      <c r="D113" s="8" t="s">
        <v>42</v>
      </c>
      <c r="E113" s="9" t="n">
        <v>566.2</v>
      </c>
      <c r="F113" s="9" t="n">
        <v>585.18</v>
      </c>
      <c r="G113" s="9" t="n">
        <v>609.85</v>
      </c>
      <c r="H113" s="9" t="n">
        <v>663.75</v>
      </c>
      <c r="I113" s="9" t="n">
        <v>704.76</v>
      </c>
      <c r="J113" s="9" t="n">
        <v>686.08</v>
      </c>
    </row>
    <row r="114" customFormat="false" ht="15" hidden="false" customHeight="false" outlineLevel="0" collapsed="false">
      <c r="A114" s="8" t="s">
        <v>62</v>
      </c>
      <c r="B114" s="8" t="n">
        <v>11</v>
      </c>
      <c r="C114" s="8" t="s">
        <v>43</v>
      </c>
      <c r="D114" s="8" t="s">
        <v>44</v>
      </c>
      <c r="E114" s="9" t="n">
        <v>485.8</v>
      </c>
      <c r="F114" s="9" t="n">
        <v>490.43</v>
      </c>
      <c r="G114" s="9" t="n">
        <v>500.14</v>
      </c>
      <c r="H114" s="9" t="n">
        <v>533.33</v>
      </c>
      <c r="I114" s="9" t="n">
        <v>556.74</v>
      </c>
      <c r="J114" s="9" t="n">
        <v>579.62</v>
      </c>
    </row>
    <row r="115" customFormat="false" ht="15" hidden="false" customHeight="false" outlineLevel="0" collapsed="false">
      <c r="A115" s="8" t="s">
        <v>62</v>
      </c>
      <c r="B115" s="8" t="n">
        <v>12</v>
      </c>
      <c r="C115" s="8" t="s">
        <v>45</v>
      </c>
      <c r="D115" s="8" t="s">
        <v>46</v>
      </c>
      <c r="E115" s="9" t="n">
        <v>490.55</v>
      </c>
      <c r="F115" s="9" t="n">
        <v>493.6</v>
      </c>
      <c r="G115" s="9" t="n">
        <v>507.22</v>
      </c>
      <c r="H115" s="9" t="n">
        <v>546.92</v>
      </c>
      <c r="I115" s="9" t="n">
        <v>572.86</v>
      </c>
      <c r="J115" s="9" t="n">
        <v>605.57</v>
      </c>
    </row>
    <row r="116" customFormat="false" ht="15" hidden="false" customHeight="false" outlineLevel="0" collapsed="false">
      <c r="A116" s="8" t="s">
        <v>62</v>
      </c>
      <c r="B116" s="8" t="n">
        <v>13</v>
      </c>
      <c r="C116" s="8" t="s">
        <v>47</v>
      </c>
      <c r="D116" s="8" t="s">
        <v>48</v>
      </c>
      <c r="E116" s="9" t="n">
        <v>2.03</v>
      </c>
      <c r="F116" s="9" t="n">
        <v>2.05</v>
      </c>
      <c r="G116" s="9" t="n">
        <v>2.17</v>
      </c>
      <c r="H116" s="9" t="n">
        <v>2.38</v>
      </c>
      <c r="I116" s="9" t="n">
        <v>2.43</v>
      </c>
      <c r="J116" s="9" t="n">
        <v>2.84</v>
      </c>
    </row>
    <row r="117" customFormat="false" ht="15" hidden="false" customHeight="false" outlineLevel="0" collapsed="false">
      <c r="A117" s="8" t="s">
        <v>62</v>
      </c>
      <c r="B117" s="8" t="n">
        <v>14</v>
      </c>
      <c r="C117" s="8" t="s">
        <v>49</v>
      </c>
      <c r="D117" s="8" t="s">
        <v>50</v>
      </c>
      <c r="E117" s="9" t="n">
        <v>1454.33</v>
      </c>
      <c r="F117" s="9" t="n">
        <v>1436.3</v>
      </c>
      <c r="G117" s="9" t="n">
        <v>1484.59</v>
      </c>
      <c r="H117" s="9" t="n">
        <v>1614.44</v>
      </c>
      <c r="I117" s="9" t="n">
        <v>1668.82</v>
      </c>
      <c r="J117" s="9" t="n">
        <v>1644.45</v>
      </c>
    </row>
    <row r="118" customFormat="false" ht="15" hidden="false" customHeight="false" outlineLevel="0" collapsed="false">
      <c r="A118" s="8" t="s">
        <v>62</v>
      </c>
      <c r="B118" s="8" t="n">
        <v>15</v>
      </c>
      <c r="C118" s="8" t="s">
        <v>51</v>
      </c>
      <c r="D118" s="8" t="s">
        <v>52</v>
      </c>
      <c r="E118" s="9" t="n">
        <v>604.08</v>
      </c>
      <c r="F118" s="9" t="n">
        <v>605.48</v>
      </c>
      <c r="G118" s="9" t="n">
        <v>619.24</v>
      </c>
      <c r="H118" s="9" t="n">
        <v>639.39</v>
      </c>
      <c r="I118" s="9" t="n">
        <v>643.04</v>
      </c>
      <c r="J118" s="9" t="n">
        <v>678.28</v>
      </c>
    </row>
    <row r="119" customFormat="false" ht="15" hidden="false" customHeight="false" outlineLevel="0" collapsed="false">
      <c r="A119" s="8" t="s">
        <v>62</v>
      </c>
      <c r="B119" s="8" t="n">
        <v>16</v>
      </c>
      <c r="C119" s="8" t="s">
        <v>53</v>
      </c>
      <c r="D119" s="8" t="s">
        <v>54</v>
      </c>
      <c r="E119" s="9" t="n">
        <v>373.45</v>
      </c>
      <c r="F119" s="9" t="n">
        <v>394.81</v>
      </c>
      <c r="G119" s="9" t="n">
        <v>401.01</v>
      </c>
      <c r="H119" s="9" t="n">
        <v>420.09</v>
      </c>
      <c r="I119" s="9" t="n">
        <v>448.27</v>
      </c>
      <c r="J119" s="9" t="n">
        <v>460.24</v>
      </c>
    </row>
    <row r="120" customFormat="false" ht="15" hidden="false" customHeight="false" outlineLevel="0" collapsed="false">
      <c r="A120" s="8" t="s">
        <v>62</v>
      </c>
      <c r="B120" s="8" t="n">
        <v>17</v>
      </c>
      <c r="C120" s="8" t="s">
        <v>55</v>
      </c>
      <c r="D120" s="8" t="s">
        <v>56</v>
      </c>
      <c r="E120" s="9" t="n">
        <v>142.01</v>
      </c>
      <c r="F120" s="9" t="n">
        <v>138.06</v>
      </c>
      <c r="G120" s="9" t="n">
        <v>157.57</v>
      </c>
      <c r="H120" s="9" t="n">
        <v>172.72</v>
      </c>
      <c r="I120" s="9" t="n">
        <v>191.77</v>
      </c>
      <c r="J120" s="9" t="n">
        <v>195.53</v>
      </c>
    </row>
    <row r="122" customFormat="false" ht="15" hidden="false" customHeight="false" outlineLevel="0" collapsed="false">
      <c r="A122" s="1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1"/>
  </cols>
  <sheetData>
    <row r="1" customFormat="false" ht="15" hidden="false" customHeight="false" outlineLevel="0" collapsed="false">
      <c r="A1" s="7" t="s">
        <v>18</v>
      </c>
      <c r="B1" s="7" t="n">
        <v>2020</v>
      </c>
      <c r="C1" s="7" t="n">
        <v>2021</v>
      </c>
      <c r="D1" s="7" t="n">
        <v>2022</v>
      </c>
      <c r="E1" s="7" t="n">
        <v>2023</v>
      </c>
      <c r="F1" s="7" t="n">
        <v>2024</v>
      </c>
      <c r="G1" s="7" t="n">
        <v>2025</v>
      </c>
    </row>
    <row r="2" customFormat="false" ht="15" hidden="false" customHeight="false" outlineLevel="0" collapsed="false">
      <c r="A2" s="8" t="s">
        <v>22</v>
      </c>
      <c r="B2" s="9" t="n">
        <v>252.09</v>
      </c>
      <c r="C2" s="9" t="n">
        <v>254.96</v>
      </c>
      <c r="D2" s="9" t="n">
        <v>257.8</v>
      </c>
      <c r="E2" s="9" t="n">
        <v>260.6</v>
      </c>
      <c r="F2" s="9" t="n">
        <v>263.34</v>
      </c>
      <c r="G2" s="9" t="n">
        <v>266.01</v>
      </c>
    </row>
    <row r="3" customFormat="false" ht="15" hidden="false" customHeight="false" outlineLevel="0" collapsed="false">
      <c r="A3" s="8" t="s">
        <v>57</v>
      </c>
      <c r="B3" s="9" t="n">
        <v>158.77</v>
      </c>
      <c r="C3" s="9" t="n">
        <v>161.18</v>
      </c>
      <c r="D3" s="9" t="n">
        <v>163.56</v>
      </c>
      <c r="E3" s="9" t="n">
        <v>165.89</v>
      </c>
      <c r="F3" s="9" t="n">
        <v>168.19</v>
      </c>
      <c r="G3" s="9" t="n">
        <v>170.46</v>
      </c>
    </row>
    <row r="4" customFormat="false" ht="15" hidden="false" customHeight="false" outlineLevel="0" collapsed="false">
      <c r="A4" s="8" t="s">
        <v>58</v>
      </c>
      <c r="B4" s="9" t="n">
        <v>81.13</v>
      </c>
      <c r="C4" s="9" t="n">
        <v>82.28</v>
      </c>
      <c r="D4" s="9" t="n">
        <v>83.43</v>
      </c>
      <c r="E4" s="9" t="n">
        <v>84.56</v>
      </c>
      <c r="F4" s="9" t="n">
        <v>85.66</v>
      </c>
      <c r="G4" s="9" t="n">
        <v>86.76</v>
      </c>
    </row>
    <row r="5" customFormat="false" ht="15" hidden="false" customHeight="false" outlineLevel="0" collapsed="false">
      <c r="A5" s="8" t="s">
        <v>59</v>
      </c>
      <c r="B5" s="9" t="n">
        <v>97.99</v>
      </c>
      <c r="C5" s="9" t="n">
        <v>99.02</v>
      </c>
      <c r="D5" s="9" t="n">
        <v>100.03</v>
      </c>
      <c r="E5" s="9" t="n">
        <v>101.03</v>
      </c>
      <c r="F5" s="9" t="n">
        <v>102.01</v>
      </c>
      <c r="G5" s="9" t="n">
        <v>102.95</v>
      </c>
    </row>
    <row r="6" customFormat="false" ht="15" hidden="false" customHeight="false" outlineLevel="0" collapsed="false">
      <c r="A6" s="8" t="s">
        <v>60</v>
      </c>
      <c r="B6" s="9" t="n">
        <v>47.11</v>
      </c>
      <c r="C6" s="9" t="n">
        <v>47.78</v>
      </c>
      <c r="D6" s="9" t="n">
        <v>48.44</v>
      </c>
      <c r="E6" s="9" t="n">
        <v>49.09</v>
      </c>
      <c r="F6" s="9" t="n">
        <v>49.73</v>
      </c>
      <c r="G6" s="9" t="n">
        <v>50.36</v>
      </c>
    </row>
    <row r="7" customFormat="false" ht="15" hidden="false" customHeight="false" outlineLevel="0" collapsed="false">
      <c r="A7" s="8" t="s">
        <v>61</v>
      </c>
      <c r="B7" s="9" t="n">
        <v>1193.96</v>
      </c>
      <c r="C7" s="9" t="n">
        <v>1215.14</v>
      </c>
      <c r="D7" s="9" t="n">
        <v>1236.01</v>
      </c>
      <c r="E7" s="9" t="n">
        <v>1256.61</v>
      </c>
      <c r="F7" s="9" t="n">
        <v>1276.93</v>
      </c>
      <c r="G7" s="9" t="n">
        <v>1296.96</v>
      </c>
    </row>
    <row r="8" customFormat="false" ht="15" hidden="false" customHeight="false" outlineLevel="0" collapsed="false">
      <c r="A8" s="8" t="s">
        <v>62</v>
      </c>
      <c r="B8" s="9" t="n">
        <v>226.81</v>
      </c>
      <c r="C8" s="9" t="n">
        <v>229.54</v>
      </c>
      <c r="D8" s="9" t="n">
        <v>232.2</v>
      </c>
      <c r="E8" s="9" t="n">
        <v>234.84</v>
      </c>
      <c r="F8" s="9" t="n">
        <v>237.43</v>
      </c>
      <c r="G8" s="9" t="n">
        <v>239.96</v>
      </c>
    </row>
    <row r="9" customFormat="false" ht="15" hidden="false" customHeight="false" outlineLevel="0" collapsed="false">
      <c r="A9" s="11" t="s">
        <v>64</v>
      </c>
      <c r="B9" s="12" t="n">
        <v>2057.86</v>
      </c>
      <c r="C9" s="12" t="n">
        <v>2089.89</v>
      </c>
      <c r="D9" s="12" t="n">
        <v>2121.48</v>
      </c>
      <c r="E9" s="12" t="n">
        <v>2152.63</v>
      </c>
      <c r="F9" s="12" t="n">
        <v>2183.29</v>
      </c>
      <c r="G9" s="12" t="n">
        <v>2213.46</v>
      </c>
    </row>
    <row r="11" customFormat="false" ht="15" hidden="false" customHeight="false" outlineLevel="0" collapsed="false">
      <c r="A11" s="1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8" min="3" style="0" width="12"/>
  </cols>
  <sheetData>
    <row r="1" customFormat="false" ht="15" hidden="false" customHeight="false" outlineLevel="0" collapsed="false">
      <c r="A1" s="7" t="s">
        <v>66</v>
      </c>
      <c r="B1" s="7" t="s">
        <v>67</v>
      </c>
      <c r="C1" s="7" t="n">
        <v>2020</v>
      </c>
      <c r="D1" s="7" t="n">
        <v>2021</v>
      </c>
      <c r="E1" s="7" t="n">
        <v>2022</v>
      </c>
      <c r="F1" s="7" t="n">
        <v>2023</v>
      </c>
      <c r="G1" s="7" t="n">
        <v>2024</v>
      </c>
      <c r="H1" s="7" t="n">
        <v>2025</v>
      </c>
    </row>
    <row r="2" customFormat="false" ht="15" hidden="false" customHeight="false" outlineLevel="0" collapsed="false">
      <c r="A2" s="13" t="s">
        <v>22</v>
      </c>
      <c r="B2" s="8" t="s">
        <v>68</v>
      </c>
      <c r="C2" s="14" t="n">
        <f aca="false">SUMIF('1. Data PDRB ADHK'!$A$2:$A$120,$A2,'1. Data PDRB ADHK'!$E$2:$E$120)</f>
        <v>9117.11</v>
      </c>
      <c r="D2" s="14" t="n">
        <f aca="false">SUMIF('1. Data PDRB ADHK'!$A$2:$A$120,$A2,'1. Data PDRB ADHK'!$F$2:$F$120)</f>
        <v>9332.77</v>
      </c>
      <c r="E2" s="14" t="n">
        <f aca="false">SUMIF('1. Data PDRB ADHK'!$A$2:$A$120,$A2,'1. Data PDRB ADHK'!$G$2:$G$120)</f>
        <v>9741.86</v>
      </c>
      <c r="F2" s="14" t="n">
        <f aca="false">SUMIF('1. Data PDRB ADHK'!$A$2:$A$120,$A2,'1. Data PDRB ADHK'!$H$2:$H$120)</f>
        <v>10277.6</v>
      </c>
      <c r="G2" s="14" t="n">
        <f aca="false">SUMIF('1. Data PDRB ADHK'!$A$2:$A$120,$A2,'1. Data PDRB ADHK'!$I$2:$I$120)</f>
        <v>11073.58</v>
      </c>
      <c r="H2" s="14" t="n">
        <f aca="false">SUMIF('1. Data PDRB ADHK'!$A$2:$A$120,$A2,'1. Data PDRB ADHK'!$J$2:$J$120)</f>
        <v>11738.98</v>
      </c>
    </row>
    <row r="3" customFormat="false" ht="15" hidden="false" customHeight="false" outlineLevel="0" collapsed="false">
      <c r="A3" s="8" t="s">
        <v>22</v>
      </c>
      <c r="B3" s="8" t="s">
        <v>69</v>
      </c>
      <c r="C3" s="14" t="n">
        <f aca="false">'2. Data Penduduk'!B2</f>
        <v>252.09</v>
      </c>
      <c r="D3" s="14" t="n">
        <f aca="false">'2. Data Penduduk'!C2</f>
        <v>254.96</v>
      </c>
      <c r="E3" s="14" t="n">
        <f aca="false">'2. Data Penduduk'!D2</f>
        <v>257.8</v>
      </c>
      <c r="F3" s="14" t="n">
        <f aca="false">'2. Data Penduduk'!E2</f>
        <v>260.6</v>
      </c>
      <c r="G3" s="14" t="n">
        <f aca="false">'2. Data Penduduk'!F2</f>
        <v>263.34</v>
      </c>
      <c r="H3" s="14" t="n">
        <f aca="false">'2. Data Penduduk'!G2</f>
        <v>266.01</v>
      </c>
    </row>
    <row r="4" customFormat="false" ht="15" hidden="false" customHeight="false" outlineLevel="0" collapsed="false">
      <c r="A4" s="8" t="s">
        <v>22</v>
      </c>
      <c r="B4" s="15" t="s">
        <v>70</v>
      </c>
      <c r="C4" s="16" t="n">
        <f aca="false">C2/C3</f>
        <v>36.1660914752668</v>
      </c>
      <c r="D4" s="16" t="n">
        <f aca="false">D2/D3</f>
        <v>36.604839974898</v>
      </c>
      <c r="E4" s="16" t="n">
        <f aca="false">E2/E3</f>
        <v>37.788440651668</v>
      </c>
      <c r="F4" s="16" t="n">
        <f aca="false">F2/F3</f>
        <v>39.4382194934766</v>
      </c>
      <c r="G4" s="16" t="n">
        <f aca="false">G2/G3</f>
        <v>42.0505050505051</v>
      </c>
      <c r="H4" s="16" t="n">
        <f aca="false">H2/H3</f>
        <v>44.1298447426789</v>
      </c>
    </row>
    <row r="6" customFormat="false" ht="15" hidden="false" customHeight="false" outlineLevel="0" collapsed="false">
      <c r="A6" s="13" t="s">
        <v>57</v>
      </c>
      <c r="B6" s="8" t="s">
        <v>68</v>
      </c>
      <c r="C6" s="14" t="n">
        <f aca="false">SUMIF('1. Data PDRB ADHK'!$A$2:$A$120,$A6,'1. Data PDRB ADHK'!$E$2:$E$120)</f>
        <v>13902.16</v>
      </c>
      <c r="D6" s="14" t="n">
        <f aca="false">SUMIF('1. Data PDRB ADHK'!$A$2:$A$120,$A6,'1. Data PDRB ADHK'!$F$2:$F$120)</f>
        <v>13933.47</v>
      </c>
      <c r="E6" s="14" t="n">
        <f aca="false">SUMIF('1. Data PDRB ADHK'!$A$2:$A$120,$A6,'1. Data PDRB ADHK'!$G$2:$G$120)</f>
        <v>14551.77</v>
      </c>
      <c r="F6" s="14" t="n">
        <f aca="false">SUMIF('1. Data PDRB ADHK'!$A$2:$A$120,$A6,'1. Data PDRB ADHK'!$H$2:$H$120)</f>
        <v>15445.29</v>
      </c>
      <c r="G6" s="14" t="n">
        <f aca="false">SUMIF('1. Data PDRB ADHK'!$A$2:$A$120,$A6,'1. Data PDRB ADHK'!$I$2:$I$120)</f>
        <v>16967.59</v>
      </c>
      <c r="H6" s="14" t="n">
        <f aca="false">SUMIF('1. Data PDRB ADHK'!$A$2:$A$120,$A6,'1. Data PDRB ADHK'!$J$2:$J$120)</f>
        <v>18287.81</v>
      </c>
    </row>
    <row r="7" customFormat="false" ht="15" hidden="false" customHeight="false" outlineLevel="0" collapsed="false">
      <c r="A7" s="8" t="s">
        <v>57</v>
      </c>
      <c r="B7" s="8" t="s">
        <v>69</v>
      </c>
      <c r="C7" s="14" t="n">
        <f aca="false">'2. Data Penduduk'!B3</f>
        <v>158.77</v>
      </c>
      <c r="D7" s="14" t="n">
        <f aca="false">'2. Data Penduduk'!C3</f>
        <v>161.18</v>
      </c>
      <c r="E7" s="14" t="n">
        <f aca="false">'2. Data Penduduk'!D3</f>
        <v>163.56</v>
      </c>
      <c r="F7" s="14" t="n">
        <f aca="false">'2. Data Penduduk'!E3</f>
        <v>165.89</v>
      </c>
      <c r="G7" s="14" t="n">
        <f aca="false">'2. Data Penduduk'!F3</f>
        <v>168.19</v>
      </c>
      <c r="H7" s="14" t="n">
        <f aca="false">'2. Data Penduduk'!G3</f>
        <v>170.46</v>
      </c>
    </row>
    <row r="8" customFormat="false" ht="15" hidden="false" customHeight="false" outlineLevel="0" collapsed="false">
      <c r="A8" s="8" t="s">
        <v>57</v>
      </c>
      <c r="B8" s="15" t="s">
        <v>70</v>
      </c>
      <c r="C8" s="16" t="n">
        <f aca="false">C6/C7</f>
        <v>87.5616300308623</v>
      </c>
      <c r="D8" s="16" t="n">
        <f aca="false">D6/D7</f>
        <v>86.4466435041568</v>
      </c>
      <c r="E8" s="16" t="n">
        <f aca="false">E6/E7</f>
        <v>88.9690022010272</v>
      </c>
      <c r="F8" s="16" t="n">
        <f aca="false">F6/F7</f>
        <v>93.1056121526313</v>
      </c>
      <c r="G8" s="16" t="n">
        <f aca="false">G6/G7</f>
        <v>100.883465128723</v>
      </c>
      <c r="H8" s="16" t="n">
        <f aca="false">H6/H7</f>
        <v>107.285052211663</v>
      </c>
    </row>
    <row r="10" customFormat="false" ht="15" hidden="false" customHeight="false" outlineLevel="0" collapsed="false">
      <c r="A10" s="13" t="s">
        <v>58</v>
      </c>
      <c r="B10" s="8" t="s">
        <v>68</v>
      </c>
      <c r="C10" s="14" t="n">
        <f aca="false">SUMIF('1. Data PDRB ADHK'!$A$2:$A$120,$A10,'1. Data PDRB ADHK'!$E$2:$E$120)</f>
        <v>12694.62</v>
      </c>
      <c r="D10" s="14" t="n">
        <f aca="false">SUMIF('1. Data PDRB ADHK'!$A$2:$A$120,$A10,'1. Data PDRB ADHK'!$F$2:$F$120)</f>
        <v>12755.57</v>
      </c>
      <c r="E10" s="14" t="n">
        <f aca="false">SUMIF('1. Data PDRB ADHK'!$A$2:$A$120,$A10,'1. Data PDRB ADHK'!$G$2:$G$120)</f>
        <v>13338.93</v>
      </c>
      <c r="F10" s="14" t="n">
        <f aca="false">SUMIF('1. Data PDRB ADHK'!$A$2:$A$120,$A10,'1. Data PDRB ADHK'!$H$2:$H$120)</f>
        <v>14184.65</v>
      </c>
      <c r="G10" s="14" t="n">
        <f aca="false">SUMIF('1. Data PDRB ADHK'!$A$2:$A$120,$A10,'1. Data PDRB ADHK'!$I$2:$I$120)</f>
        <v>14752.4</v>
      </c>
      <c r="H10" s="14" t="n">
        <f aca="false">SUMIF('1. Data PDRB ADHK'!$A$2:$A$120,$A10,'1. Data PDRB ADHK'!$J$2:$J$120)</f>
        <v>15446.99</v>
      </c>
    </row>
    <row r="11" customFormat="false" ht="15" hidden="false" customHeight="false" outlineLevel="0" collapsed="false">
      <c r="A11" s="8" t="s">
        <v>58</v>
      </c>
      <c r="B11" s="8" t="s">
        <v>69</v>
      </c>
      <c r="C11" s="14" t="n">
        <f aca="false">'2. Data Penduduk'!B4</f>
        <v>81.13</v>
      </c>
      <c r="D11" s="14" t="n">
        <f aca="false">'2. Data Penduduk'!C4</f>
        <v>82.28</v>
      </c>
      <c r="E11" s="14" t="n">
        <f aca="false">'2. Data Penduduk'!D4</f>
        <v>83.43</v>
      </c>
      <c r="F11" s="14" t="n">
        <f aca="false">'2. Data Penduduk'!E4</f>
        <v>84.56</v>
      </c>
      <c r="G11" s="14" t="n">
        <f aca="false">'2. Data Penduduk'!F4</f>
        <v>85.66</v>
      </c>
      <c r="H11" s="14" t="n">
        <f aca="false">'2. Data Penduduk'!G4</f>
        <v>86.76</v>
      </c>
    </row>
    <row r="12" customFormat="false" ht="15" hidden="false" customHeight="false" outlineLevel="0" collapsed="false">
      <c r="A12" s="8" t="s">
        <v>58</v>
      </c>
      <c r="B12" s="15" t="s">
        <v>70</v>
      </c>
      <c r="C12" s="16" t="n">
        <f aca="false">C10/C11</f>
        <v>156.472574879823</v>
      </c>
      <c r="D12" s="16" t="n">
        <f aca="false">D10/D11</f>
        <v>155.026373359261</v>
      </c>
      <c r="E12" s="16" t="n">
        <f aca="false">E10/E11</f>
        <v>159.881697231212</v>
      </c>
      <c r="F12" s="16" t="n">
        <f aca="false">F10/F11</f>
        <v>167.746570482498</v>
      </c>
      <c r="G12" s="16" t="n">
        <f aca="false">G10/G11</f>
        <v>172.220406257296</v>
      </c>
      <c r="H12" s="16" t="n">
        <f aca="false">H10/H11</f>
        <v>178.042761641309</v>
      </c>
    </row>
    <row r="14" customFormat="false" ht="15" hidden="false" customHeight="false" outlineLevel="0" collapsed="false">
      <c r="A14" s="13" t="s">
        <v>59</v>
      </c>
      <c r="B14" s="8" t="s">
        <v>68</v>
      </c>
      <c r="C14" s="14" t="n">
        <f aca="false">SUMIF('1. Data PDRB ADHK'!$A$2:$A$120,$A14,'1. Data PDRB ADHK'!$E$2:$E$120)</f>
        <v>2912.6</v>
      </c>
      <c r="D14" s="14" t="n">
        <f aca="false">SUMIF('1. Data PDRB ADHK'!$A$2:$A$120,$A14,'1. Data PDRB ADHK'!$F$2:$F$120)</f>
        <v>2971.59</v>
      </c>
      <c r="E14" s="14" t="n">
        <f aca="false">SUMIF('1. Data PDRB ADHK'!$A$2:$A$120,$A14,'1. Data PDRB ADHK'!$G$2:$G$120)</f>
        <v>3082.81</v>
      </c>
      <c r="F14" s="14" t="n">
        <f aca="false">SUMIF('1. Data PDRB ADHK'!$A$2:$A$120,$A14,'1. Data PDRB ADHK'!$H$2:$H$120)</f>
        <v>3215.39</v>
      </c>
      <c r="G14" s="14" t="n">
        <f aca="false">SUMIF('1. Data PDRB ADHK'!$A$2:$A$120,$A14,'1. Data PDRB ADHK'!$I$2:$I$120)</f>
        <v>3357.6</v>
      </c>
      <c r="H14" s="14" t="n">
        <f aca="false">SUMIF('1. Data PDRB ADHK'!$A$2:$A$120,$A14,'1. Data PDRB ADHK'!$J$2:$J$120)</f>
        <v>3527.78</v>
      </c>
    </row>
    <row r="15" customFormat="false" ht="15" hidden="false" customHeight="false" outlineLevel="0" collapsed="false">
      <c r="A15" s="8" t="s">
        <v>59</v>
      </c>
      <c r="B15" s="8" t="s">
        <v>69</v>
      </c>
      <c r="C15" s="14" t="n">
        <f aca="false">'2. Data Penduduk'!B5</f>
        <v>97.99</v>
      </c>
      <c r="D15" s="14" t="n">
        <f aca="false">'2. Data Penduduk'!C5</f>
        <v>99.02</v>
      </c>
      <c r="E15" s="14" t="n">
        <f aca="false">'2. Data Penduduk'!D5</f>
        <v>100.03</v>
      </c>
      <c r="F15" s="14" t="n">
        <f aca="false">'2. Data Penduduk'!E5</f>
        <v>101.03</v>
      </c>
      <c r="G15" s="14" t="n">
        <f aca="false">'2. Data Penduduk'!F5</f>
        <v>102.01</v>
      </c>
      <c r="H15" s="14" t="n">
        <f aca="false">'2. Data Penduduk'!G5</f>
        <v>102.95</v>
      </c>
    </row>
    <row r="16" customFormat="false" ht="15" hidden="false" customHeight="false" outlineLevel="0" collapsed="false">
      <c r="A16" s="8" t="s">
        <v>59</v>
      </c>
      <c r="B16" s="15" t="s">
        <v>70</v>
      </c>
      <c r="C16" s="16" t="n">
        <f aca="false">C14/C15</f>
        <v>29.7234411674661</v>
      </c>
      <c r="D16" s="16" t="n">
        <f aca="false">D14/D15</f>
        <v>30.009997980206</v>
      </c>
      <c r="E16" s="16" t="n">
        <f aca="false">E14/E15</f>
        <v>30.8188543436969</v>
      </c>
      <c r="F16" s="16" t="n">
        <f aca="false">F14/F15</f>
        <v>31.8260912600218</v>
      </c>
      <c r="G16" s="16" t="n">
        <f aca="false">G14/G15</f>
        <v>32.9144201548868</v>
      </c>
      <c r="H16" s="16" t="n">
        <f aca="false">H14/H15</f>
        <v>34.2669256920835</v>
      </c>
    </row>
    <row r="18" customFormat="false" ht="15" hidden="false" customHeight="false" outlineLevel="0" collapsed="false">
      <c r="A18" s="13" t="s">
        <v>60</v>
      </c>
      <c r="B18" s="8" t="s">
        <v>68</v>
      </c>
      <c r="C18" s="14" t="n">
        <f aca="false">SUMIF('1. Data PDRB ADHK'!$A$2:$A$120,$A18,'1. Data PDRB ADHK'!$E$2:$E$120)</f>
        <v>11104.45</v>
      </c>
      <c r="D18" s="14" t="n">
        <f aca="false">SUMIF('1. Data PDRB ADHK'!$A$2:$A$120,$A18,'1. Data PDRB ADHK'!$F$2:$F$120)</f>
        <v>11108.49</v>
      </c>
      <c r="E18" s="14" t="n">
        <f aca="false">SUMIF('1. Data PDRB ADHK'!$A$2:$A$120,$A18,'1. Data PDRB ADHK'!$G$2:$G$120)</f>
        <v>11118.21</v>
      </c>
      <c r="F18" s="14" t="n">
        <f aca="false">SUMIF('1. Data PDRB ADHK'!$A$2:$A$120,$A18,'1. Data PDRB ADHK'!$H$2:$H$120)</f>
        <v>11214.76</v>
      </c>
      <c r="G18" s="14" t="n">
        <f aca="false">SUMIF('1. Data PDRB ADHK'!$A$2:$A$120,$A18,'1. Data PDRB ADHK'!$I$2:$I$120)</f>
        <v>11289.06</v>
      </c>
      <c r="H18" s="14" t="n">
        <f aca="false">SUMIF('1. Data PDRB ADHK'!$A$2:$A$120,$A18,'1. Data PDRB ADHK'!$J$2:$J$120)</f>
        <v>11434.89</v>
      </c>
    </row>
    <row r="19" customFormat="false" ht="15" hidden="false" customHeight="false" outlineLevel="0" collapsed="false">
      <c r="A19" s="8" t="s">
        <v>60</v>
      </c>
      <c r="B19" s="8" t="s">
        <v>69</v>
      </c>
      <c r="C19" s="14" t="n">
        <f aca="false">'2. Data Penduduk'!B6</f>
        <v>47.11</v>
      </c>
      <c r="D19" s="14" t="n">
        <f aca="false">'2. Data Penduduk'!C6</f>
        <v>47.78</v>
      </c>
      <c r="E19" s="14" t="n">
        <f aca="false">'2. Data Penduduk'!D6</f>
        <v>48.44</v>
      </c>
      <c r="F19" s="14" t="n">
        <f aca="false">'2. Data Penduduk'!E6</f>
        <v>49.09</v>
      </c>
      <c r="G19" s="14" t="n">
        <f aca="false">'2. Data Penduduk'!F6</f>
        <v>49.73</v>
      </c>
      <c r="H19" s="14" t="n">
        <f aca="false">'2. Data Penduduk'!G6</f>
        <v>50.36</v>
      </c>
    </row>
    <row r="20" customFormat="false" ht="15" hidden="false" customHeight="false" outlineLevel="0" collapsed="false">
      <c r="A20" s="8" t="s">
        <v>60</v>
      </c>
      <c r="B20" s="15" t="s">
        <v>70</v>
      </c>
      <c r="C20" s="16" t="n">
        <f aca="false">C18/C19</f>
        <v>235.713224368499</v>
      </c>
      <c r="D20" s="16" t="n">
        <f aca="false">D18/D19</f>
        <v>232.492465466722</v>
      </c>
      <c r="E20" s="16" t="n">
        <f aca="false">E18/E19</f>
        <v>229.52539223782</v>
      </c>
      <c r="F20" s="16" t="n">
        <f aca="false">F18/F19</f>
        <v>228.453045426767</v>
      </c>
      <c r="G20" s="16" t="n">
        <f aca="false">G18/G19</f>
        <v>227.007038005228</v>
      </c>
      <c r="H20" s="16" t="n">
        <f aca="false">H18/H19</f>
        <v>227.062946783161</v>
      </c>
    </row>
    <row r="22" customFormat="false" ht="15" hidden="false" customHeight="false" outlineLevel="0" collapsed="false">
      <c r="A22" s="13" t="s">
        <v>61</v>
      </c>
      <c r="B22" s="8" t="s">
        <v>68</v>
      </c>
      <c r="C22" s="14" t="n">
        <f aca="false">SUMIF('1. Data PDRB ADHK'!$A$2:$A$120,$A22,'1. Data PDRB ADHK'!$E$2:$E$120)</f>
        <v>106027.64</v>
      </c>
      <c r="D22" s="14" t="n">
        <f aca="false">SUMIF('1. Data PDRB ADHK'!$A$2:$A$120,$A22,'1. Data PDRB ADHK'!$F$2:$F$120)</f>
        <v>111068.93</v>
      </c>
      <c r="E22" s="14" t="n">
        <f aca="false">SUMIF('1. Data PDRB ADHK'!$A$2:$A$120,$A22,'1. Data PDRB ADHK'!$G$2:$G$120)</f>
        <v>118665.19</v>
      </c>
      <c r="F22" s="14" t="n">
        <f aca="false">SUMIF('1. Data PDRB ADHK'!$A$2:$A$120,$A22,'1. Data PDRB ADHK'!$H$2:$H$120)</f>
        <v>127132.38</v>
      </c>
      <c r="G22" s="14" t="n">
        <f aca="false">SUMIF('1. Data PDRB ADHK'!$A$2:$A$120,$A22,'1. Data PDRB ADHK'!$I$2:$I$120)</f>
        <v>137219.01</v>
      </c>
      <c r="H22" s="14" t="n">
        <f aca="false">SUMIF('1. Data PDRB ADHK'!$A$2:$A$120,$A22,'1. Data PDRB ADHK'!$J$2:$J$120)</f>
        <v>145856.31</v>
      </c>
    </row>
    <row r="23" customFormat="false" ht="15" hidden="false" customHeight="false" outlineLevel="0" collapsed="false">
      <c r="A23" s="8" t="s">
        <v>61</v>
      </c>
      <c r="B23" s="8" t="s">
        <v>69</v>
      </c>
      <c r="C23" s="14" t="n">
        <f aca="false">'2. Data Penduduk'!B7</f>
        <v>1193.96</v>
      </c>
      <c r="D23" s="14" t="n">
        <f aca="false">'2. Data Penduduk'!C7</f>
        <v>1215.14</v>
      </c>
      <c r="E23" s="14" t="n">
        <f aca="false">'2. Data Penduduk'!D7</f>
        <v>1236.01</v>
      </c>
      <c r="F23" s="14" t="n">
        <f aca="false">'2. Data Penduduk'!E7</f>
        <v>1256.61</v>
      </c>
      <c r="G23" s="14" t="n">
        <f aca="false">'2. Data Penduduk'!F7</f>
        <v>1276.93</v>
      </c>
      <c r="H23" s="14" t="n">
        <f aca="false">'2. Data Penduduk'!G7</f>
        <v>1296.96</v>
      </c>
    </row>
    <row r="24" customFormat="false" ht="15" hidden="false" customHeight="false" outlineLevel="0" collapsed="false">
      <c r="A24" s="8" t="s">
        <v>61</v>
      </c>
      <c r="B24" s="15" t="s">
        <v>70</v>
      </c>
      <c r="C24" s="16" t="n">
        <f aca="false">C22/C23</f>
        <v>88.8033434955945</v>
      </c>
      <c r="D24" s="16" t="n">
        <f aca="false">D22/D23</f>
        <v>91.4042250275688</v>
      </c>
      <c r="E24" s="16" t="n">
        <f aca="false">E22/E23</f>
        <v>96.0066585221803</v>
      </c>
      <c r="F24" s="16" t="n">
        <f aca="false">F22/F23</f>
        <v>101.170912216201</v>
      </c>
      <c r="G24" s="16" t="n">
        <f aca="false">G22/G23</f>
        <v>107.460087866993</v>
      </c>
      <c r="H24" s="16" t="n">
        <f aca="false">H22/H23</f>
        <v>112.460145262768</v>
      </c>
    </row>
    <row r="26" customFormat="false" ht="15" hidden="false" customHeight="false" outlineLevel="0" collapsed="false">
      <c r="A26" s="13" t="s">
        <v>62</v>
      </c>
      <c r="B26" s="8" t="s">
        <v>68</v>
      </c>
      <c r="C26" s="14" t="n">
        <f aca="false">SUMIF('1. Data PDRB ADHK'!$A$2:$A$120,$A26,'1. Data PDRB ADHK'!$E$2:$E$120)</f>
        <v>13938.22</v>
      </c>
      <c r="D26" s="14" t="n">
        <f aca="false">SUMIF('1. Data PDRB ADHK'!$A$2:$A$120,$A26,'1. Data PDRB ADHK'!$F$2:$F$120)</f>
        <v>14020.21</v>
      </c>
      <c r="E26" s="14" t="n">
        <f aca="false">SUMIF('1. Data PDRB ADHK'!$A$2:$A$120,$A26,'1. Data PDRB ADHK'!$G$2:$G$120)</f>
        <v>14597.58</v>
      </c>
      <c r="F26" s="14" t="n">
        <f aca="false">SUMIF('1. Data PDRB ADHK'!$A$2:$A$120,$A26,'1. Data PDRB ADHK'!$H$2:$H$120)</f>
        <v>15316</v>
      </c>
      <c r="G26" s="14" t="n">
        <f aca="false">SUMIF('1. Data PDRB ADHK'!$A$2:$A$120,$A26,'1. Data PDRB ADHK'!$I$2:$I$120)</f>
        <v>15894.74</v>
      </c>
      <c r="H26" s="14" t="n">
        <f aca="false">SUMIF('1. Data PDRB ADHK'!$A$2:$A$120,$A26,'1. Data PDRB ADHK'!$J$2:$J$120)</f>
        <v>16679.07</v>
      </c>
    </row>
    <row r="27" customFormat="false" ht="15" hidden="false" customHeight="false" outlineLevel="0" collapsed="false">
      <c r="A27" s="8" t="s">
        <v>62</v>
      </c>
      <c r="B27" s="8" t="s">
        <v>69</v>
      </c>
      <c r="C27" s="14" t="n">
        <f aca="false">'2. Data Penduduk'!B8</f>
        <v>226.81</v>
      </c>
      <c r="D27" s="14" t="n">
        <f aca="false">'2. Data Penduduk'!C8</f>
        <v>229.54</v>
      </c>
      <c r="E27" s="14" t="n">
        <f aca="false">'2. Data Penduduk'!D8</f>
        <v>232.2</v>
      </c>
      <c r="F27" s="14" t="n">
        <f aca="false">'2. Data Penduduk'!E8</f>
        <v>234.84</v>
      </c>
      <c r="G27" s="14" t="n">
        <f aca="false">'2. Data Penduduk'!F8</f>
        <v>237.43</v>
      </c>
      <c r="H27" s="14" t="n">
        <f aca="false">'2. Data Penduduk'!G8</f>
        <v>239.96</v>
      </c>
    </row>
    <row r="28" customFormat="false" ht="15" hidden="false" customHeight="false" outlineLevel="0" collapsed="false">
      <c r="A28" s="8" t="s">
        <v>62</v>
      </c>
      <c r="B28" s="15" t="s">
        <v>70</v>
      </c>
      <c r="C28" s="16" t="n">
        <f aca="false">C26/C27</f>
        <v>61.4532868921123</v>
      </c>
      <c r="D28" s="16" t="n">
        <f aca="false">D26/D27</f>
        <v>61.0795939705498</v>
      </c>
      <c r="E28" s="16" t="n">
        <f aca="false">E26/E27</f>
        <v>62.8664082687339</v>
      </c>
      <c r="F28" s="16" t="n">
        <f aca="false">F26/F27</f>
        <v>65.2188724237779</v>
      </c>
      <c r="G28" s="16" t="n">
        <f aca="false">G26/G27</f>
        <v>66.9449521964368</v>
      </c>
      <c r="H28" s="16" t="n">
        <f aca="false">H26/H27</f>
        <v>69.5077096182697</v>
      </c>
    </row>
    <row r="30" customFormat="false" ht="15" hidden="false" customHeight="false" outlineLevel="0" collapsed="false">
      <c r="A30" s="13" t="s">
        <v>64</v>
      </c>
      <c r="B30" s="13" t="s">
        <v>68</v>
      </c>
      <c r="C30" s="17" t="n">
        <f aca="false">C2+C6+C10+C14+C18+C22+C26</f>
        <v>169696.8</v>
      </c>
      <c r="D30" s="17" t="n">
        <f aca="false">D2+D6+D10+D14+D18+D22+D26</f>
        <v>175191.03</v>
      </c>
      <c r="E30" s="17" t="n">
        <f aca="false">E2+E6+E10+E14+E18+E22+E26</f>
        <v>185096.35</v>
      </c>
      <c r="F30" s="17" t="n">
        <f aca="false">F2+F6+F10+F14+F18+F22+F26</f>
        <v>196786.07</v>
      </c>
      <c r="G30" s="17" t="n">
        <f aca="false">G2+G6+G10+G14+G18+G22+G26</f>
        <v>210553.98</v>
      </c>
      <c r="H30" s="17" t="n">
        <f aca="false">H2+H6+H10+H14+H18+H22+H26</f>
        <v>222971.83</v>
      </c>
    </row>
    <row r="31" customFormat="false" ht="15" hidden="false" customHeight="false" outlineLevel="0" collapsed="false">
      <c r="A31" s="13" t="s">
        <v>64</v>
      </c>
      <c r="B31" s="13" t="s">
        <v>69</v>
      </c>
      <c r="C31" s="17" t="n">
        <f aca="false">'2. Data Penduduk'!B9</f>
        <v>2057.86</v>
      </c>
      <c r="D31" s="17" t="n">
        <f aca="false">'2. Data Penduduk'!C9</f>
        <v>2089.89</v>
      </c>
      <c r="E31" s="17" t="n">
        <f aca="false">'2. Data Penduduk'!D9</f>
        <v>2121.48</v>
      </c>
      <c r="F31" s="17" t="n">
        <f aca="false">'2. Data Penduduk'!E9</f>
        <v>2152.63</v>
      </c>
      <c r="G31" s="17" t="n">
        <f aca="false">'2. Data Penduduk'!F9</f>
        <v>2183.29</v>
      </c>
      <c r="H31" s="17" t="n">
        <f aca="false">'2. Data Penduduk'!G9</f>
        <v>2213.46</v>
      </c>
    </row>
    <row r="32" customFormat="false" ht="15" hidden="false" customHeight="false" outlineLevel="0" collapsed="false">
      <c r="A32" s="13" t="s">
        <v>64</v>
      </c>
      <c r="B32" s="15" t="s">
        <v>70</v>
      </c>
      <c r="C32" s="17" t="n">
        <f aca="false">C30/C31</f>
        <v>82.4627525682019</v>
      </c>
      <c r="D32" s="17" t="n">
        <f aca="false">D30/D31</f>
        <v>83.8278713233711</v>
      </c>
      <c r="E32" s="17" t="n">
        <f aca="false">E30/E31</f>
        <v>87.248689594057</v>
      </c>
      <c r="F32" s="17" t="n">
        <f aca="false">F30/F31</f>
        <v>91.4165787896666</v>
      </c>
      <c r="G32" s="17" t="n">
        <f aca="false">G30/G31</f>
        <v>96.4388514581205</v>
      </c>
      <c r="H32" s="17" t="n">
        <f aca="false">H30/H31</f>
        <v>100.734519711221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7" t="s">
        <v>66</v>
      </c>
      <c r="B1" s="7" t="n">
        <v>2021</v>
      </c>
      <c r="C1" s="7" t="n">
        <v>2022</v>
      </c>
      <c r="D1" s="7" t="n">
        <v>2023</v>
      </c>
      <c r="E1" s="7" t="n">
        <v>2024</v>
      </c>
      <c r="F1" s="7" t="n">
        <v>2025</v>
      </c>
    </row>
    <row r="2" customFormat="false" ht="15" hidden="false" customHeight="false" outlineLevel="0" collapsed="false">
      <c r="A2" s="13" t="s">
        <v>22</v>
      </c>
      <c r="B2" s="18" t="n">
        <f aca="false">('3. Total PDRB &amp; Per Kapita'!D2-'3. Total PDRB &amp; Per Kapita'!C2)/'3. Total PDRB &amp; Per Kapita'!C2</f>
        <v>0.0236544255800358</v>
      </c>
      <c r="C2" s="18" t="n">
        <f aca="false">('3. Total PDRB &amp; Per Kapita'!E2-'3. Total PDRB &amp; Per Kapita'!D2)/'3. Total PDRB &amp; Per Kapita'!D2</f>
        <v>0.0438337171064968</v>
      </c>
      <c r="D2" s="18" t="n">
        <f aca="false">('3. Total PDRB &amp; Per Kapita'!F2-'3. Total PDRB &amp; Per Kapita'!E2)/'3. Total PDRB &amp; Per Kapita'!E2</f>
        <v>0.0549936049173361</v>
      </c>
      <c r="E2" s="18" t="n">
        <f aca="false">('3. Total PDRB &amp; Per Kapita'!G2-'3. Total PDRB &amp; Per Kapita'!F2)/'3. Total PDRB &amp; Per Kapita'!F2</f>
        <v>0.0774480423445162</v>
      </c>
      <c r="F2" s="18" t="n">
        <f aca="false">('3. Total PDRB &amp; Per Kapita'!H2-'3. Total PDRB &amp; Per Kapita'!G2)/'3. Total PDRB &amp; Per Kapita'!G2</f>
        <v>0.0600889685178596</v>
      </c>
    </row>
    <row r="3" customFormat="false" ht="15" hidden="false" customHeight="false" outlineLevel="0" collapsed="false">
      <c r="A3" s="13" t="s">
        <v>57</v>
      </c>
      <c r="B3" s="18" t="n">
        <f aca="false">('3. Total PDRB &amp; Per Kapita'!D6-'3. Total PDRB &amp; Per Kapita'!C6)/'3. Total PDRB &amp; Per Kapita'!C6</f>
        <v>0.00225216800842455</v>
      </c>
      <c r="C3" s="18" t="n">
        <f aca="false">('3. Total PDRB &amp; Per Kapita'!E6-'3. Total PDRB &amp; Per Kapita'!D6)/'3. Total PDRB &amp; Per Kapita'!D6</f>
        <v>0.0443751628273503</v>
      </c>
      <c r="D3" s="18" t="n">
        <f aca="false">('3. Total PDRB &amp; Per Kapita'!F6-'3. Total PDRB &amp; Per Kapita'!E6)/'3. Total PDRB &amp; Per Kapita'!E6</f>
        <v>0.0614028396545574</v>
      </c>
      <c r="E3" s="18" t="n">
        <f aca="false">('3. Total PDRB &amp; Per Kapita'!G6-'3. Total PDRB &amp; Per Kapita'!F6)/'3. Total PDRB &amp; Per Kapita'!F6</f>
        <v>0.0985607910243188</v>
      </c>
      <c r="F3" s="18" t="n">
        <f aca="false">('3. Total PDRB &amp; Per Kapita'!H6-'3. Total PDRB &amp; Per Kapita'!G6)/'3. Total PDRB &amp; Per Kapita'!G6</f>
        <v>0.0778083393104148</v>
      </c>
    </row>
    <row r="4" customFormat="false" ht="15" hidden="false" customHeight="false" outlineLevel="0" collapsed="false">
      <c r="A4" s="13" t="s">
        <v>58</v>
      </c>
      <c r="B4" s="18" t="n">
        <f aca="false">('3. Total PDRB &amp; Per Kapita'!D10-'3. Total PDRB &amp; Per Kapita'!C10)/'3. Total PDRB &amp; Per Kapita'!C10</f>
        <v>0.00480124651230198</v>
      </c>
      <c r="C4" s="18" t="n">
        <f aca="false">('3. Total PDRB &amp; Per Kapita'!E10-'3. Total PDRB &amp; Per Kapita'!D10)/'3. Total PDRB &amp; Per Kapita'!D10</f>
        <v>0.0457337461203224</v>
      </c>
      <c r="D4" s="18" t="n">
        <f aca="false">('3. Total PDRB &amp; Per Kapita'!F10-'3. Total PDRB &amp; Per Kapita'!E10)/'3. Total PDRB &amp; Per Kapita'!E10</f>
        <v>0.0634023868481205</v>
      </c>
      <c r="E4" s="18" t="n">
        <f aca="false">('3. Total PDRB &amp; Per Kapita'!G10-'3. Total PDRB &amp; Per Kapita'!F10)/'3. Total PDRB &amp; Per Kapita'!F10</f>
        <v>0.040025661542583</v>
      </c>
      <c r="F4" s="18" t="n">
        <f aca="false">('3. Total PDRB &amp; Per Kapita'!H10-'3. Total PDRB &amp; Per Kapita'!G10)/'3. Total PDRB &amp; Per Kapita'!G10</f>
        <v>0.0470831864645753</v>
      </c>
    </row>
    <row r="5" customFormat="false" ht="15" hidden="false" customHeight="false" outlineLevel="0" collapsed="false">
      <c r="A5" s="13" t="s">
        <v>59</v>
      </c>
      <c r="B5" s="18" t="n">
        <f aca="false">('3. Total PDRB &amp; Per Kapita'!D14-'3. Total PDRB &amp; Per Kapita'!C14)/'3. Total PDRB &amp; Per Kapita'!C14</f>
        <v>0.0202533818581337</v>
      </c>
      <c r="C5" s="18" t="n">
        <f aca="false">('3. Total PDRB &amp; Per Kapita'!E14-'3. Total PDRB &amp; Per Kapita'!D14)/'3. Total PDRB &amp; Per Kapita'!D14</f>
        <v>0.0374277743564892</v>
      </c>
      <c r="D5" s="18" t="n">
        <f aca="false">('3. Total PDRB &amp; Per Kapita'!F14-'3. Total PDRB &amp; Per Kapita'!E14)/'3. Total PDRB &amp; Per Kapita'!E14</f>
        <v>0.0430062183527366</v>
      </c>
      <c r="E5" s="18" t="n">
        <f aca="false">('3. Total PDRB &amp; Per Kapita'!G14-'3. Total PDRB &amp; Per Kapita'!F14)/'3. Total PDRB &amp; Per Kapita'!F14</f>
        <v>0.0442279163647334</v>
      </c>
      <c r="F5" s="18" t="n">
        <f aca="false">('3. Total PDRB &amp; Per Kapita'!H14-'3. Total PDRB &amp; Per Kapita'!G14)/'3. Total PDRB &amp; Per Kapita'!G14</f>
        <v>0.0506850131045986</v>
      </c>
    </row>
    <row r="6" customFormat="false" ht="15" hidden="false" customHeight="false" outlineLevel="0" collapsed="false">
      <c r="A6" s="13" t="s">
        <v>60</v>
      </c>
      <c r="B6" s="18" t="n">
        <f aca="false">('3. Total PDRB &amp; Per Kapita'!D18-'3. Total PDRB &amp; Per Kapita'!C18)/'3. Total PDRB &amp; Per Kapita'!C18</f>
        <v>0.000363818108956398</v>
      </c>
      <c r="C6" s="18" t="n">
        <f aca="false">('3. Total PDRB &amp; Per Kapita'!E18-'3. Total PDRB &amp; Per Kapita'!D18)/'3. Total PDRB &amp; Per Kapita'!D18</f>
        <v>0.000875006414013171</v>
      </c>
      <c r="D6" s="18" t="n">
        <f aca="false">('3. Total PDRB &amp; Per Kapita'!F18-'3. Total PDRB &amp; Per Kapita'!E18)/'3. Total PDRB &amp; Per Kapita'!E18</f>
        <v>0.0086839518231801</v>
      </c>
      <c r="E6" s="18" t="n">
        <f aca="false">('3. Total PDRB &amp; Per Kapita'!G18-'3. Total PDRB &amp; Per Kapita'!F18)/'3. Total PDRB &amp; Per Kapita'!F18</f>
        <v>0.00662519750757032</v>
      </c>
      <c r="F6" s="18" t="n">
        <f aca="false">('3. Total PDRB &amp; Per Kapita'!H18-'3. Total PDRB &amp; Per Kapita'!G18)/'3. Total PDRB &amp; Per Kapita'!G18</f>
        <v>0.0129178160094817</v>
      </c>
    </row>
    <row r="7" customFormat="false" ht="15" hidden="false" customHeight="false" outlineLevel="0" collapsed="false">
      <c r="A7" s="13" t="s">
        <v>61</v>
      </c>
      <c r="B7" s="18" t="n">
        <f aca="false">('3. Total PDRB &amp; Per Kapita'!D22-'3. Total PDRB &amp; Per Kapita'!C22)/'3. Total PDRB &amp; Per Kapita'!C22</f>
        <v>0.0475469415333586</v>
      </c>
      <c r="C7" s="18" t="n">
        <f aca="false">('3. Total PDRB &amp; Per Kapita'!E22-'3. Total PDRB &amp; Per Kapita'!D22)/'3. Total PDRB &amp; Per Kapita'!D22</f>
        <v>0.0683923037702804</v>
      </c>
      <c r="D7" s="18" t="n">
        <f aca="false">('3. Total PDRB &amp; Per Kapita'!F22-'3. Total PDRB &amp; Per Kapita'!E22)/'3. Total PDRB &amp; Per Kapita'!E22</f>
        <v>0.071353612630629</v>
      </c>
      <c r="E7" s="18" t="n">
        <f aca="false">('3. Total PDRB &amp; Per Kapita'!G22-'3. Total PDRB &amp; Per Kapita'!F22)/'3. Total PDRB &amp; Per Kapita'!F22</f>
        <v>0.0793395828820323</v>
      </c>
      <c r="F7" s="18" t="n">
        <f aca="false">('3. Total PDRB &amp; Per Kapita'!H22-'3. Total PDRB &amp; Per Kapita'!G22)/'3. Total PDRB &amp; Per Kapita'!G22</f>
        <v>0.0629453601217498</v>
      </c>
    </row>
    <row r="8" customFormat="false" ht="15" hidden="false" customHeight="false" outlineLevel="0" collapsed="false">
      <c r="A8" s="13" t="s">
        <v>62</v>
      </c>
      <c r="B8" s="18" t="n">
        <f aca="false">('3. Total PDRB &amp; Per Kapita'!D26-'3. Total PDRB &amp; Per Kapita'!C26)/'3. Total PDRB &amp; Per Kapita'!C26</f>
        <v>0.00588238670361063</v>
      </c>
      <c r="C8" s="18" t="n">
        <f aca="false">('3. Total PDRB &amp; Per Kapita'!E26-'3. Total PDRB &amp; Per Kapita'!D26)/'3. Total PDRB &amp; Per Kapita'!D26</f>
        <v>0.0411812661864551</v>
      </c>
      <c r="D8" s="18" t="n">
        <f aca="false">('3. Total PDRB &amp; Per Kapita'!F26-'3. Total PDRB &amp; Per Kapita'!E26)/'3. Total PDRB &amp; Per Kapita'!E26</f>
        <v>0.0492150068710019</v>
      </c>
      <c r="E8" s="18" t="n">
        <f aca="false">('3. Total PDRB &amp; Per Kapita'!G26-'3. Total PDRB &amp; Per Kapita'!F26)/'3. Total PDRB &amp; Per Kapita'!F26</f>
        <v>0.0377866283624967</v>
      </c>
      <c r="F8" s="18" t="n">
        <f aca="false">('3. Total PDRB &amp; Per Kapita'!H26-'3. Total PDRB &amp; Per Kapita'!G26)/'3. Total PDRB &amp; Per Kapita'!G26</f>
        <v>0.0493452550969692</v>
      </c>
    </row>
    <row r="9" customFormat="false" ht="15" hidden="false" customHeight="false" outlineLevel="0" collapsed="false">
      <c r="A9" s="13" t="s">
        <v>64</v>
      </c>
      <c r="B9" s="19" t="n">
        <f aca="false">('3. Total PDRB &amp; Per Kapita'!D30-'3. Total PDRB &amp; Per Kapita'!C30)/'3. Total PDRB &amp; Per Kapita'!C30</f>
        <v>0.0323767448767448</v>
      </c>
      <c r="C9" s="19" t="n">
        <f aca="false">('3. Total PDRB &amp; Per Kapita'!E30-'3. Total PDRB &amp; Per Kapita'!D30)/'3. Total PDRB &amp; Per Kapita'!D30</f>
        <v>0.0565401093880207</v>
      </c>
      <c r="D9" s="19" t="n">
        <f aca="false">('3. Total PDRB &amp; Per Kapita'!F30-'3. Total PDRB &amp; Per Kapita'!E30)/'3. Total PDRB &amp; Per Kapita'!E30</f>
        <v>0.0631547839814239</v>
      </c>
      <c r="E9" s="19" t="n">
        <f aca="false">('3. Total PDRB &amp; Per Kapita'!G30-'3. Total PDRB &amp; Per Kapita'!F30)/'3. Total PDRB &amp; Per Kapita'!F30</f>
        <v>0.0699638444936675</v>
      </c>
      <c r="F9" s="19" t="n">
        <f aca="false">('3. Total PDRB &amp; Per Kapita'!H30-'3. Total PDRB &amp; Per Kapita'!G30)/'3. Total PDRB &amp; Per Kapita'!G30</f>
        <v>0.0589770376223714</v>
      </c>
    </row>
    <row r="11" customFormat="false" ht="15" hidden="false" customHeight="false" outlineLevel="0" collapsed="false">
      <c r="A11" s="1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31.5" hidden="false" customHeight="true" outlineLevel="0" collapsed="false">
      <c r="A1" s="7" t="s">
        <v>66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76</v>
      </c>
      <c r="G1" s="7" t="s">
        <v>77</v>
      </c>
      <c r="H1" s="7" t="s">
        <v>78</v>
      </c>
      <c r="I1" s="7" t="s">
        <v>79</v>
      </c>
    </row>
    <row r="2" customFormat="false" ht="15" hidden="false" customHeight="false" outlineLevel="0" collapsed="false">
      <c r="A2" s="8" t="s">
        <v>22</v>
      </c>
      <c r="B2" s="8" t="n">
        <v>2021</v>
      </c>
      <c r="C2" s="14" t="n">
        <f aca="false">'3. Total PDRB &amp; Per Kapita'!D4</f>
        <v>36.604839974898</v>
      </c>
      <c r="D2" s="18" t="n">
        <f aca="false">'4. Laju Pertumbuhan'!B2</f>
        <v>0.0236544255800358</v>
      </c>
      <c r="E2" s="14" t="n">
        <f aca="false">'3. Total PDRB &amp; Per Kapita'!D32</f>
        <v>83.8278713233711</v>
      </c>
      <c r="F2" s="18" t="n">
        <f aca="false">'4. Laju Pertumbuhan'!B9</f>
        <v>0.0323767448767448</v>
      </c>
      <c r="G2" s="20" t="str">
        <f aca="false">IF(C2&gt;=E2,"Tinggi","Rendah")</f>
        <v>Rendah</v>
      </c>
      <c r="H2" s="20" t="str">
        <f aca="false">IF(D2&gt;=F2,"Tinggi","Rendah")</f>
        <v>Rendah</v>
      </c>
      <c r="I2" s="13" t="str">
        <f aca="false">IF(AND(G2="Tinggi",H2="Tinggi"),"I - Maju &amp; Tumbuh Cepat",IF(AND(G2="Tinggi",H2="Rendah"),"II - Maju tapi Tertekan",IF(AND(G2="Rendah",H2="Rendah"),"III - Relatif Tertinggal","IV - Berkembang Cepat")))</f>
        <v>III - Relatif Tertinggal</v>
      </c>
    </row>
    <row r="3" customFormat="false" ht="15" hidden="false" customHeight="false" outlineLevel="0" collapsed="false">
      <c r="A3" s="8" t="s">
        <v>22</v>
      </c>
      <c r="B3" s="8" t="n">
        <v>2022</v>
      </c>
      <c r="C3" s="14" t="n">
        <f aca="false">'3. Total PDRB &amp; Per Kapita'!E4</f>
        <v>37.788440651668</v>
      </c>
      <c r="D3" s="18" t="n">
        <f aca="false">'4. Laju Pertumbuhan'!C2</f>
        <v>0.0438337171064968</v>
      </c>
      <c r="E3" s="14" t="n">
        <f aca="false">'3. Total PDRB &amp; Per Kapita'!E32</f>
        <v>87.248689594057</v>
      </c>
      <c r="F3" s="18" t="n">
        <f aca="false">'4. Laju Pertumbuhan'!C9</f>
        <v>0.0565401093880207</v>
      </c>
      <c r="G3" s="20" t="str">
        <f aca="false">IF(C3&gt;=E3,"Tinggi","Rendah")</f>
        <v>Rendah</v>
      </c>
      <c r="H3" s="20" t="str">
        <f aca="false">IF(D3&gt;=F3,"Tinggi","Rendah")</f>
        <v>Rendah</v>
      </c>
      <c r="I3" s="13" t="str">
        <f aca="false">IF(AND(G3="Tinggi",H3="Tinggi"),"I - Maju &amp; Tumbuh Cepat",IF(AND(G3="Tinggi",H3="Rendah"),"II - Maju tapi Tertekan",IF(AND(G3="Rendah",H3="Rendah"),"III - Relatif Tertinggal","IV - Berkembang Cepat")))</f>
        <v>III - Relatif Tertinggal</v>
      </c>
    </row>
    <row r="4" customFormat="false" ht="15" hidden="false" customHeight="false" outlineLevel="0" collapsed="false">
      <c r="A4" s="8" t="s">
        <v>22</v>
      </c>
      <c r="B4" s="8" t="n">
        <v>2023</v>
      </c>
      <c r="C4" s="14" t="n">
        <f aca="false">'3. Total PDRB &amp; Per Kapita'!F4</f>
        <v>39.4382194934766</v>
      </c>
      <c r="D4" s="18" t="n">
        <f aca="false">'4. Laju Pertumbuhan'!D2</f>
        <v>0.0549936049173361</v>
      </c>
      <c r="E4" s="14" t="n">
        <f aca="false">'3. Total PDRB &amp; Per Kapita'!F32</f>
        <v>91.4165787896666</v>
      </c>
      <c r="F4" s="18" t="n">
        <f aca="false">'4. Laju Pertumbuhan'!D9</f>
        <v>0.0631547839814239</v>
      </c>
      <c r="G4" s="20" t="str">
        <f aca="false">IF(C4&gt;=E4,"Tinggi","Rendah")</f>
        <v>Rendah</v>
      </c>
      <c r="H4" s="20" t="str">
        <f aca="false">IF(D4&gt;=F4,"Tinggi","Rendah")</f>
        <v>Rendah</v>
      </c>
      <c r="I4" s="13" t="str">
        <f aca="false">IF(AND(G4="Tinggi",H4="Tinggi"),"I - Maju &amp; Tumbuh Cepat",IF(AND(G4="Tinggi",H4="Rendah"),"II - Maju tapi Tertekan",IF(AND(G4="Rendah",H4="Rendah"),"III - Relatif Tertinggal","IV - Berkembang Cepat")))</f>
        <v>III - Relatif Tertinggal</v>
      </c>
    </row>
    <row r="5" customFormat="false" ht="15" hidden="false" customHeight="false" outlineLevel="0" collapsed="false">
      <c r="A5" s="8" t="s">
        <v>22</v>
      </c>
      <c r="B5" s="8" t="n">
        <v>2024</v>
      </c>
      <c r="C5" s="14" t="n">
        <f aca="false">'3. Total PDRB &amp; Per Kapita'!G4</f>
        <v>42.0505050505051</v>
      </c>
      <c r="D5" s="18" t="n">
        <f aca="false">'4. Laju Pertumbuhan'!E2</f>
        <v>0.0774480423445162</v>
      </c>
      <c r="E5" s="14" t="n">
        <f aca="false">'3. Total PDRB &amp; Per Kapita'!G32</f>
        <v>96.4388514581205</v>
      </c>
      <c r="F5" s="18" t="n">
        <f aca="false">'4. Laju Pertumbuhan'!E9</f>
        <v>0.0699638444936675</v>
      </c>
      <c r="G5" s="20" t="str">
        <f aca="false">IF(C5&gt;=E5,"Tinggi","Rendah")</f>
        <v>Rendah</v>
      </c>
      <c r="H5" s="20" t="str">
        <f aca="false">IF(D5&gt;=F5,"Tinggi","Rendah")</f>
        <v>Tinggi</v>
      </c>
      <c r="I5" s="13" t="str">
        <f aca="false">IF(AND(G5="Tinggi",H5="Tinggi"),"I - Maju &amp; Tumbuh Cepat",IF(AND(G5="Tinggi",H5="Rendah"),"II - Maju tapi Tertekan",IF(AND(G5="Rendah",H5="Rendah"),"III - Relatif Tertinggal","IV - Berkembang Cepat")))</f>
        <v>IV - Berkembang Cepat</v>
      </c>
    </row>
    <row r="6" customFormat="false" ht="15" hidden="false" customHeight="false" outlineLevel="0" collapsed="false">
      <c r="A6" s="8" t="s">
        <v>22</v>
      </c>
      <c r="B6" s="8" t="n">
        <v>2025</v>
      </c>
      <c r="C6" s="14" t="n">
        <f aca="false">'3. Total PDRB &amp; Per Kapita'!H4</f>
        <v>44.1298447426789</v>
      </c>
      <c r="D6" s="18" t="n">
        <f aca="false">'4. Laju Pertumbuhan'!F2</f>
        <v>0.0600889685178596</v>
      </c>
      <c r="E6" s="14" t="n">
        <f aca="false">'3. Total PDRB &amp; Per Kapita'!H32</f>
        <v>100.734519711221</v>
      </c>
      <c r="F6" s="18" t="n">
        <f aca="false">'4. Laju Pertumbuhan'!F9</f>
        <v>0.0589770376223714</v>
      </c>
      <c r="G6" s="20" t="str">
        <f aca="false">IF(C6&gt;=E6,"Tinggi","Rendah")</f>
        <v>Rendah</v>
      </c>
      <c r="H6" s="20" t="str">
        <f aca="false">IF(D6&gt;=F6,"Tinggi","Rendah")</f>
        <v>Tinggi</v>
      </c>
      <c r="I6" s="13" t="str">
        <f aca="false">IF(AND(G6="Tinggi",H6="Tinggi"),"I - Maju &amp; Tumbuh Cepat",IF(AND(G6="Tinggi",H6="Rendah"),"II - Maju tapi Tertekan",IF(AND(G6="Rendah",H6="Rendah"),"III - Relatif Tertinggal","IV - Berkembang Cepat")))</f>
        <v>IV - Berkembang Cepat</v>
      </c>
    </row>
    <row r="7" customFormat="false" ht="15" hidden="false" customHeight="false" outlineLevel="0" collapsed="false">
      <c r="A7" s="8" t="s">
        <v>57</v>
      </c>
      <c r="B7" s="8" t="n">
        <v>2021</v>
      </c>
      <c r="C7" s="14" t="n">
        <f aca="false">'3. Total PDRB &amp; Per Kapita'!D8</f>
        <v>86.4466435041568</v>
      </c>
      <c r="D7" s="18" t="n">
        <f aca="false">'4. Laju Pertumbuhan'!B3</f>
        <v>0.00225216800842455</v>
      </c>
      <c r="E7" s="14" t="n">
        <f aca="false">'3. Total PDRB &amp; Per Kapita'!D32</f>
        <v>83.8278713233711</v>
      </c>
      <c r="F7" s="18" t="n">
        <f aca="false">'4. Laju Pertumbuhan'!B9</f>
        <v>0.0323767448767448</v>
      </c>
      <c r="G7" s="20" t="str">
        <f aca="false">IF(C7&gt;=E7,"Tinggi","Rendah")</f>
        <v>Tinggi</v>
      </c>
      <c r="H7" s="20" t="str">
        <f aca="false">IF(D7&gt;=F7,"Tinggi","Rendah")</f>
        <v>Rendah</v>
      </c>
      <c r="I7" s="13" t="str">
        <f aca="false">IF(AND(G7="Tinggi",H7="Tinggi"),"I - Maju &amp; Tumbuh Cepat",IF(AND(G7="Tinggi",H7="Rendah"),"II - Maju tapi Tertekan",IF(AND(G7="Rendah",H7="Rendah"),"III - Relatif Tertinggal","IV - Berkembang Cepat")))</f>
        <v>II - Maju tapi Tertekan</v>
      </c>
    </row>
    <row r="8" customFormat="false" ht="15" hidden="false" customHeight="false" outlineLevel="0" collapsed="false">
      <c r="A8" s="8" t="s">
        <v>57</v>
      </c>
      <c r="B8" s="8" t="n">
        <v>2022</v>
      </c>
      <c r="C8" s="14" t="n">
        <f aca="false">'3. Total PDRB &amp; Per Kapita'!E8</f>
        <v>88.9690022010272</v>
      </c>
      <c r="D8" s="18" t="n">
        <f aca="false">'4. Laju Pertumbuhan'!C3</f>
        <v>0.0443751628273503</v>
      </c>
      <c r="E8" s="14" t="n">
        <f aca="false">'3. Total PDRB &amp; Per Kapita'!E32</f>
        <v>87.248689594057</v>
      </c>
      <c r="F8" s="18" t="n">
        <f aca="false">'4. Laju Pertumbuhan'!C9</f>
        <v>0.0565401093880207</v>
      </c>
      <c r="G8" s="20" t="str">
        <f aca="false">IF(C8&gt;=E8,"Tinggi","Rendah")</f>
        <v>Tinggi</v>
      </c>
      <c r="H8" s="20" t="str">
        <f aca="false">IF(D8&gt;=F8,"Tinggi","Rendah")</f>
        <v>Rendah</v>
      </c>
      <c r="I8" s="13" t="str">
        <f aca="false">IF(AND(G8="Tinggi",H8="Tinggi"),"I - Maju &amp; Tumbuh Cepat",IF(AND(G8="Tinggi",H8="Rendah"),"II - Maju tapi Tertekan",IF(AND(G8="Rendah",H8="Rendah"),"III - Relatif Tertinggal","IV - Berkembang Cepat")))</f>
        <v>II - Maju tapi Tertekan</v>
      </c>
    </row>
    <row r="9" customFormat="false" ht="15" hidden="false" customHeight="false" outlineLevel="0" collapsed="false">
      <c r="A9" s="8" t="s">
        <v>57</v>
      </c>
      <c r="B9" s="8" t="n">
        <v>2023</v>
      </c>
      <c r="C9" s="14" t="n">
        <f aca="false">'3. Total PDRB &amp; Per Kapita'!F8</f>
        <v>93.1056121526313</v>
      </c>
      <c r="D9" s="18" t="n">
        <f aca="false">'4. Laju Pertumbuhan'!D3</f>
        <v>0.0614028396545574</v>
      </c>
      <c r="E9" s="14" t="n">
        <f aca="false">'3. Total PDRB &amp; Per Kapita'!F32</f>
        <v>91.4165787896666</v>
      </c>
      <c r="F9" s="18" t="n">
        <f aca="false">'4. Laju Pertumbuhan'!D9</f>
        <v>0.0631547839814239</v>
      </c>
      <c r="G9" s="20" t="str">
        <f aca="false">IF(C9&gt;=E9,"Tinggi","Rendah")</f>
        <v>Tinggi</v>
      </c>
      <c r="H9" s="20" t="str">
        <f aca="false">IF(D9&gt;=F9,"Tinggi","Rendah")</f>
        <v>Rendah</v>
      </c>
      <c r="I9" s="13" t="str">
        <f aca="false">IF(AND(G9="Tinggi",H9="Tinggi"),"I - Maju &amp; Tumbuh Cepat",IF(AND(G9="Tinggi",H9="Rendah"),"II - Maju tapi Tertekan",IF(AND(G9="Rendah",H9="Rendah"),"III - Relatif Tertinggal","IV - Berkembang Cepat")))</f>
        <v>II - Maju tapi Tertekan</v>
      </c>
    </row>
    <row r="10" customFormat="false" ht="15" hidden="false" customHeight="false" outlineLevel="0" collapsed="false">
      <c r="A10" s="8" t="s">
        <v>57</v>
      </c>
      <c r="B10" s="8" t="n">
        <v>2024</v>
      </c>
      <c r="C10" s="14" t="n">
        <f aca="false">'3. Total PDRB &amp; Per Kapita'!G8</f>
        <v>100.883465128723</v>
      </c>
      <c r="D10" s="18" t="n">
        <f aca="false">'4. Laju Pertumbuhan'!E3</f>
        <v>0.0985607910243188</v>
      </c>
      <c r="E10" s="14" t="n">
        <f aca="false">'3. Total PDRB &amp; Per Kapita'!G32</f>
        <v>96.4388514581205</v>
      </c>
      <c r="F10" s="18" t="n">
        <f aca="false">'4. Laju Pertumbuhan'!E9</f>
        <v>0.0699638444936675</v>
      </c>
      <c r="G10" s="20" t="str">
        <f aca="false">IF(C10&gt;=E10,"Tinggi","Rendah")</f>
        <v>Tinggi</v>
      </c>
      <c r="H10" s="20" t="str">
        <f aca="false">IF(D10&gt;=F10,"Tinggi","Rendah")</f>
        <v>Tinggi</v>
      </c>
      <c r="I10" s="13" t="str">
        <f aca="false">IF(AND(G10="Tinggi",H10="Tinggi"),"I - Maju &amp; Tumbuh Cepat",IF(AND(G10="Tinggi",H10="Rendah"),"II - Maju tapi Tertekan",IF(AND(G10="Rendah",H10="Rendah"),"III - Relatif Tertinggal","IV - Berkembang Cepat")))</f>
        <v>I - Maju &amp; Tumbuh Cepat</v>
      </c>
    </row>
    <row r="11" customFormat="false" ht="15" hidden="false" customHeight="false" outlineLevel="0" collapsed="false">
      <c r="A11" s="8" t="s">
        <v>57</v>
      </c>
      <c r="B11" s="8" t="n">
        <v>2025</v>
      </c>
      <c r="C11" s="14" t="n">
        <f aca="false">'3. Total PDRB &amp; Per Kapita'!H8</f>
        <v>107.285052211663</v>
      </c>
      <c r="D11" s="18" t="n">
        <f aca="false">'4. Laju Pertumbuhan'!F3</f>
        <v>0.0778083393104148</v>
      </c>
      <c r="E11" s="14" t="n">
        <f aca="false">'3. Total PDRB &amp; Per Kapita'!H32</f>
        <v>100.734519711221</v>
      </c>
      <c r="F11" s="18" t="n">
        <f aca="false">'4. Laju Pertumbuhan'!F9</f>
        <v>0.0589770376223714</v>
      </c>
      <c r="G11" s="20" t="str">
        <f aca="false">IF(C11&gt;=E11,"Tinggi","Rendah")</f>
        <v>Tinggi</v>
      </c>
      <c r="H11" s="20" t="str">
        <f aca="false">IF(D11&gt;=F11,"Tinggi","Rendah")</f>
        <v>Tinggi</v>
      </c>
      <c r="I11" s="13" t="str">
        <f aca="false">IF(AND(G11="Tinggi",H11="Tinggi"),"I - Maju &amp; Tumbuh Cepat",IF(AND(G11="Tinggi",H11="Rendah"),"II - Maju tapi Tertekan",IF(AND(G11="Rendah",H11="Rendah"),"III - Relatif Tertinggal","IV - Berkembang Cepat")))</f>
        <v>I - Maju &amp; Tumbuh Cepat</v>
      </c>
    </row>
    <row r="12" customFormat="false" ht="15" hidden="false" customHeight="false" outlineLevel="0" collapsed="false">
      <c r="A12" s="8" t="s">
        <v>58</v>
      </c>
      <c r="B12" s="8" t="n">
        <v>2021</v>
      </c>
      <c r="C12" s="14" t="n">
        <f aca="false">'3. Total PDRB &amp; Per Kapita'!D12</f>
        <v>155.026373359261</v>
      </c>
      <c r="D12" s="18" t="n">
        <f aca="false">'4. Laju Pertumbuhan'!B4</f>
        <v>0.00480124651230198</v>
      </c>
      <c r="E12" s="14" t="n">
        <f aca="false">'3. Total PDRB &amp; Per Kapita'!D32</f>
        <v>83.8278713233711</v>
      </c>
      <c r="F12" s="18" t="n">
        <f aca="false">'4. Laju Pertumbuhan'!B9</f>
        <v>0.0323767448767448</v>
      </c>
      <c r="G12" s="20" t="str">
        <f aca="false">IF(C12&gt;=E12,"Tinggi","Rendah")</f>
        <v>Tinggi</v>
      </c>
      <c r="H12" s="20" t="str">
        <f aca="false">IF(D12&gt;=F12,"Tinggi","Rendah")</f>
        <v>Rendah</v>
      </c>
      <c r="I12" s="13" t="str">
        <f aca="false">IF(AND(G12="Tinggi",H12="Tinggi"),"I - Maju &amp; Tumbuh Cepat",IF(AND(G12="Tinggi",H12="Rendah"),"II - Maju tapi Tertekan",IF(AND(G12="Rendah",H12="Rendah"),"III - Relatif Tertinggal","IV - Berkembang Cepat")))</f>
        <v>II - Maju tapi Tertekan</v>
      </c>
    </row>
    <row r="13" customFormat="false" ht="15" hidden="false" customHeight="false" outlineLevel="0" collapsed="false">
      <c r="A13" s="8" t="s">
        <v>58</v>
      </c>
      <c r="B13" s="8" t="n">
        <v>2022</v>
      </c>
      <c r="C13" s="14" t="n">
        <f aca="false">'3. Total PDRB &amp; Per Kapita'!E12</f>
        <v>159.881697231212</v>
      </c>
      <c r="D13" s="18" t="n">
        <f aca="false">'4. Laju Pertumbuhan'!C4</f>
        <v>0.0457337461203224</v>
      </c>
      <c r="E13" s="14" t="n">
        <f aca="false">'3. Total PDRB &amp; Per Kapita'!E32</f>
        <v>87.248689594057</v>
      </c>
      <c r="F13" s="18" t="n">
        <f aca="false">'4. Laju Pertumbuhan'!C9</f>
        <v>0.0565401093880207</v>
      </c>
      <c r="G13" s="20" t="str">
        <f aca="false">IF(C13&gt;=E13,"Tinggi","Rendah")</f>
        <v>Tinggi</v>
      </c>
      <c r="H13" s="20" t="str">
        <f aca="false">IF(D13&gt;=F13,"Tinggi","Rendah")</f>
        <v>Rendah</v>
      </c>
      <c r="I13" s="13" t="str">
        <f aca="false">IF(AND(G13="Tinggi",H13="Tinggi"),"I - Maju &amp; Tumbuh Cepat",IF(AND(G13="Tinggi",H13="Rendah"),"II - Maju tapi Tertekan",IF(AND(G13="Rendah",H13="Rendah"),"III - Relatif Tertinggal","IV - Berkembang Cepat")))</f>
        <v>II - Maju tapi Tertekan</v>
      </c>
    </row>
    <row r="14" customFormat="false" ht="15" hidden="false" customHeight="false" outlineLevel="0" collapsed="false">
      <c r="A14" s="8" t="s">
        <v>58</v>
      </c>
      <c r="B14" s="8" t="n">
        <v>2023</v>
      </c>
      <c r="C14" s="14" t="n">
        <f aca="false">'3. Total PDRB &amp; Per Kapita'!F12</f>
        <v>167.746570482498</v>
      </c>
      <c r="D14" s="18" t="n">
        <f aca="false">'4. Laju Pertumbuhan'!D4</f>
        <v>0.0634023868481205</v>
      </c>
      <c r="E14" s="14" t="n">
        <f aca="false">'3. Total PDRB &amp; Per Kapita'!F32</f>
        <v>91.4165787896666</v>
      </c>
      <c r="F14" s="18" t="n">
        <f aca="false">'4. Laju Pertumbuhan'!D9</f>
        <v>0.0631547839814239</v>
      </c>
      <c r="G14" s="20" t="str">
        <f aca="false">IF(C14&gt;=E14,"Tinggi","Rendah")</f>
        <v>Tinggi</v>
      </c>
      <c r="H14" s="20" t="str">
        <f aca="false">IF(D14&gt;=F14,"Tinggi","Rendah")</f>
        <v>Tinggi</v>
      </c>
      <c r="I14" s="13" t="str">
        <f aca="false">IF(AND(G14="Tinggi",H14="Tinggi"),"I - Maju &amp; Tumbuh Cepat",IF(AND(G14="Tinggi",H14="Rendah"),"II - Maju tapi Tertekan",IF(AND(G14="Rendah",H14="Rendah"),"III - Relatif Tertinggal","IV - Berkembang Cepat")))</f>
        <v>I - Maju &amp; Tumbuh Cepat</v>
      </c>
    </row>
    <row r="15" customFormat="false" ht="15" hidden="false" customHeight="false" outlineLevel="0" collapsed="false">
      <c r="A15" s="8" t="s">
        <v>58</v>
      </c>
      <c r="B15" s="8" t="n">
        <v>2024</v>
      </c>
      <c r="C15" s="14" t="n">
        <f aca="false">'3. Total PDRB &amp; Per Kapita'!G12</f>
        <v>172.220406257296</v>
      </c>
      <c r="D15" s="18" t="n">
        <f aca="false">'4. Laju Pertumbuhan'!E4</f>
        <v>0.040025661542583</v>
      </c>
      <c r="E15" s="14" t="n">
        <f aca="false">'3. Total PDRB &amp; Per Kapita'!G32</f>
        <v>96.4388514581205</v>
      </c>
      <c r="F15" s="18" t="n">
        <f aca="false">'4. Laju Pertumbuhan'!E9</f>
        <v>0.0699638444936675</v>
      </c>
      <c r="G15" s="20" t="str">
        <f aca="false">IF(C15&gt;=E15,"Tinggi","Rendah")</f>
        <v>Tinggi</v>
      </c>
      <c r="H15" s="20" t="str">
        <f aca="false">IF(D15&gt;=F15,"Tinggi","Rendah")</f>
        <v>Rendah</v>
      </c>
      <c r="I15" s="13" t="str">
        <f aca="false">IF(AND(G15="Tinggi",H15="Tinggi"),"I - Maju &amp; Tumbuh Cepat",IF(AND(G15="Tinggi",H15="Rendah"),"II - Maju tapi Tertekan",IF(AND(G15="Rendah",H15="Rendah"),"III - Relatif Tertinggal","IV - Berkembang Cepat")))</f>
        <v>II - Maju tapi Tertekan</v>
      </c>
    </row>
    <row r="16" customFormat="false" ht="15" hidden="false" customHeight="false" outlineLevel="0" collapsed="false">
      <c r="A16" s="8" t="s">
        <v>58</v>
      </c>
      <c r="B16" s="8" t="n">
        <v>2025</v>
      </c>
      <c r="C16" s="14" t="n">
        <f aca="false">'3. Total PDRB &amp; Per Kapita'!H12</f>
        <v>178.042761641309</v>
      </c>
      <c r="D16" s="18" t="n">
        <f aca="false">'4. Laju Pertumbuhan'!F4</f>
        <v>0.0470831864645753</v>
      </c>
      <c r="E16" s="14" t="n">
        <f aca="false">'3. Total PDRB &amp; Per Kapita'!H32</f>
        <v>100.734519711221</v>
      </c>
      <c r="F16" s="18" t="n">
        <f aca="false">'4. Laju Pertumbuhan'!F9</f>
        <v>0.0589770376223714</v>
      </c>
      <c r="G16" s="20" t="str">
        <f aca="false">IF(C16&gt;=E16,"Tinggi","Rendah")</f>
        <v>Tinggi</v>
      </c>
      <c r="H16" s="20" t="str">
        <f aca="false">IF(D16&gt;=F16,"Tinggi","Rendah")</f>
        <v>Rendah</v>
      </c>
      <c r="I16" s="13" t="str">
        <f aca="false">IF(AND(G16="Tinggi",H16="Tinggi"),"I - Maju &amp; Tumbuh Cepat",IF(AND(G16="Tinggi",H16="Rendah"),"II - Maju tapi Tertekan",IF(AND(G16="Rendah",H16="Rendah"),"III - Relatif Tertinggal","IV - Berkembang Cepat")))</f>
        <v>II - Maju tapi Tertekan</v>
      </c>
    </row>
    <row r="17" customFormat="false" ht="15" hidden="false" customHeight="false" outlineLevel="0" collapsed="false">
      <c r="A17" s="8" t="s">
        <v>59</v>
      </c>
      <c r="B17" s="8" t="n">
        <v>2021</v>
      </c>
      <c r="C17" s="14" t="n">
        <f aca="false">'3. Total PDRB &amp; Per Kapita'!D16</f>
        <v>30.009997980206</v>
      </c>
      <c r="D17" s="18" t="n">
        <f aca="false">'4. Laju Pertumbuhan'!B5</f>
        <v>0.0202533818581337</v>
      </c>
      <c r="E17" s="14" t="n">
        <f aca="false">'3. Total PDRB &amp; Per Kapita'!D32</f>
        <v>83.8278713233711</v>
      </c>
      <c r="F17" s="18" t="n">
        <f aca="false">'4. Laju Pertumbuhan'!B9</f>
        <v>0.0323767448767448</v>
      </c>
      <c r="G17" s="20" t="str">
        <f aca="false">IF(C17&gt;=E17,"Tinggi","Rendah")</f>
        <v>Rendah</v>
      </c>
      <c r="H17" s="20" t="str">
        <f aca="false">IF(D17&gt;=F17,"Tinggi","Rendah")</f>
        <v>Rendah</v>
      </c>
      <c r="I17" s="13" t="str">
        <f aca="false">IF(AND(G17="Tinggi",H17="Tinggi"),"I - Maju &amp; Tumbuh Cepat",IF(AND(G17="Tinggi",H17="Rendah"),"II - Maju tapi Tertekan",IF(AND(G17="Rendah",H17="Rendah"),"III - Relatif Tertinggal","IV - Berkembang Cepat")))</f>
        <v>III - Relatif Tertinggal</v>
      </c>
    </row>
    <row r="18" customFormat="false" ht="15" hidden="false" customHeight="false" outlineLevel="0" collapsed="false">
      <c r="A18" s="8" t="s">
        <v>59</v>
      </c>
      <c r="B18" s="8" t="n">
        <v>2022</v>
      </c>
      <c r="C18" s="14" t="n">
        <f aca="false">'3. Total PDRB &amp; Per Kapita'!E16</f>
        <v>30.8188543436969</v>
      </c>
      <c r="D18" s="18" t="n">
        <f aca="false">'4. Laju Pertumbuhan'!C5</f>
        <v>0.0374277743564892</v>
      </c>
      <c r="E18" s="14" t="n">
        <f aca="false">'3. Total PDRB &amp; Per Kapita'!E32</f>
        <v>87.248689594057</v>
      </c>
      <c r="F18" s="18" t="n">
        <f aca="false">'4. Laju Pertumbuhan'!C9</f>
        <v>0.0565401093880207</v>
      </c>
      <c r="G18" s="20" t="str">
        <f aca="false">IF(C18&gt;=E18,"Tinggi","Rendah")</f>
        <v>Rendah</v>
      </c>
      <c r="H18" s="20" t="str">
        <f aca="false">IF(D18&gt;=F18,"Tinggi","Rendah")</f>
        <v>Rendah</v>
      </c>
      <c r="I18" s="13" t="str">
        <f aca="false">IF(AND(G18="Tinggi",H18="Tinggi"),"I - Maju &amp; Tumbuh Cepat",IF(AND(G18="Tinggi",H18="Rendah"),"II - Maju tapi Tertekan",IF(AND(G18="Rendah",H18="Rendah"),"III - Relatif Tertinggal","IV - Berkembang Cepat")))</f>
        <v>III - Relatif Tertinggal</v>
      </c>
    </row>
    <row r="19" customFormat="false" ht="15" hidden="false" customHeight="false" outlineLevel="0" collapsed="false">
      <c r="A19" s="8" t="s">
        <v>59</v>
      </c>
      <c r="B19" s="8" t="n">
        <v>2023</v>
      </c>
      <c r="C19" s="14" t="n">
        <f aca="false">'3. Total PDRB &amp; Per Kapita'!F16</f>
        <v>31.8260912600218</v>
      </c>
      <c r="D19" s="18" t="n">
        <f aca="false">'4. Laju Pertumbuhan'!D5</f>
        <v>0.0430062183527366</v>
      </c>
      <c r="E19" s="14" t="n">
        <f aca="false">'3. Total PDRB &amp; Per Kapita'!F32</f>
        <v>91.4165787896666</v>
      </c>
      <c r="F19" s="18" t="n">
        <f aca="false">'4. Laju Pertumbuhan'!D9</f>
        <v>0.0631547839814239</v>
      </c>
      <c r="G19" s="20" t="str">
        <f aca="false">IF(C19&gt;=E19,"Tinggi","Rendah")</f>
        <v>Rendah</v>
      </c>
      <c r="H19" s="20" t="str">
        <f aca="false">IF(D19&gt;=F19,"Tinggi","Rendah")</f>
        <v>Rendah</v>
      </c>
      <c r="I19" s="13" t="str">
        <f aca="false">IF(AND(G19="Tinggi",H19="Tinggi"),"I - Maju &amp; Tumbuh Cepat",IF(AND(G19="Tinggi",H19="Rendah"),"II - Maju tapi Tertekan",IF(AND(G19="Rendah",H19="Rendah"),"III - Relatif Tertinggal","IV - Berkembang Cepat")))</f>
        <v>III - Relatif Tertinggal</v>
      </c>
    </row>
    <row r="20" customFormat="false" ht="15" hidden="false" customHeight="false" outlineLevel="0" collapsed="false">
      <c r="A20" s="8" t="s">
        <v>59</v>
      </c>
      <c r="B20" s="8" t="n">
        <v>2024</v>
      </c>
      <c r="C20" s="14" t="n">
        <f aca="false">'3. Total PDRB &amp; Per Kapita'!G16</f>
        <v>32.9144201548868</v>
      </c>
      <c r="D20" s="18" t="n">
        <f aca="false">'4. Laju Pertumbuhan'!E5</f>
        <v>0.0442279163647334</v>
      </c>
      <c r="E20" s="14" t="n">
        <f aca="false">'3. Total PDRB &amp; Per Kapita'!G32</f>
        <v>96.4388514581205</v>
      </c>
      <c r="F20" s="18" t="n">
        <f aca="false">'4. Laju Pertumbuhan'!E9</f>
        <v>0.0699638444936675</v>
      </c>
      <c r="G20" s="20" t="str">
        <f aca="false">IF(C20&gt;=E20,"Tinggi","Rendah")</f>
        <v>Rendah</v>
      </c>
      <c r="H20" s="20" t="str">
        <f aca="false">IF(D20&gt;=F20,"Tinggi","Rendah")</f>
        <v>Rendah</v>
      </c>
      <c r="I20" s="13" t="str">
        <f aca="false">IF(AND(G20="Tinggi",H20="Tinggi"),"I - Maju &amp; Tumbuh Cepat",IF(AND(G20="Tinggi",H20="Rendah"),"II - Maju tapi Tertekan",IF(AND(G20="Rendah",H20="Rendah"),"III - Relatif Tertinggal","IV - Berkembang Cepat")))</f>
        <v>III - Relatif Tertinggal</v>
      </c>
    </row>
    <row r="21" customFormat="false" ht="15" hidden="false" customHeight="false" outlineLevel="0" collapsed="false">
      <c r="A21" s="8" t="s">
        <v>59</v>
      </c>
      <c r="B21" s="8" t="n">
        <v>2025</v>
      </c>
      <c r="C21" s="14" t="n">
        <f aca="false">'3. Total PDRB &amp; Per Kapita'!H16</f>
        <v>34.2669256920835</v>
      </c>
      <c r="D21" s="18" t="n">
        <f aca="false">'4. Laju Pertumbuhan'!F5</f>
        <v>0.0506850131045986</v>
      </c>
      <c r="E21" s="14" t="n">
        <f aca="false">'3. Total PDRB &amp; Per Kapita'!H32</f>
        <v>100.734519711221</v>
      </c>
      <c r="F21" s="18" t="n">
        <f aca="false">'4. Laju Pertumbuhan'!F9</f>
        <v>0.0589770376223714</v>
      </c>
      <c r="G21" s="20" t="str">
        <f aca="false">IF(C21&gt;=E21,"Tinggi","Rendah")</f>
        <v>Rendah</v>
      </c>
      <c r="H21" s="20" t="str">
        <f aca="false">IF(D21&gt;=F21,"Tinggi","Rendah")</f>
        <v>Rendah</v>
      </c>
      <c r="I21" s="13" t="str">
        <f aca="false">IF(AND(G21="Tinggi",H21="Tinggi"),"I - Maju &amp; Tumbuh Cepat",IF(AND(G21="Tinggi",H21="Rendah"),"II - Maju tapi Tertekan",IF(AND(G21="Rendah",H21="Rendah"),"III - Relatif Tertinggal","IV - Berkembang Cepat")))</f>
        <v>III - Relatif Tertinggal</v>
      </c>
    </row>
    <row r="22" customFormat="false" ht="15" hidden="false" customHeight="false" outlineLevel="0" collapsed="false">
      <c r="A22" s="8" t="s">
        <v>60</v>
      </c>
      <c r="B22" s="8" t="n">
        <v>2021</v>
      </c>
      <c r="C22" s="14" t="n">
        <f aca="false">'3. Total PDRB &amp; Per Kapita'!D20</f>
        <v>232.492465466722</v>
      </c>
      <c r="D22" s="18" t="n">
        <f aca="false">'4. Laju Pertumbuhan'!B6</f>
        <v>0.000363818108956398</v>
      </c>
      <c r="E22" s="14" t="n">
        <f aca="false">'3. Total PDRB &amp; Per Kapita'!D32</f>
        <v>83.8278713233711</v>
      </c>
      <c r="F22" s="18" t="n">
        <f aca="false">'4. Laju Pertumbuhan'!B9</f>
        <v>0.0323767448767448</v>
      </c>
      <c r="G22" s="20" t="str">
        <f aca="false">IF(C22&gt;=E22,"Tinggi","Rendah")</f>
        <v>Tinggi</v>
      </c>
      <c r="H22" s="20" t="str">
        <f aca="false">IF(D22&gt;=F22,"Tinggi","Rendah")</f>
        <v>Rendah</v>
      </c>
      <c r="I22" s="13" t="str">
        <f aca="false">IF(AND(G22="Tinggi",H22="Tinggi"),"I - Maju &amp; Tumbuh Cepat",IF(AND(G22="Tinggi",H22="Rendah"),"II - Maju tapi Tertekan",IF(AND(G22="Rendah",H22="Rendah"),"III - Relatif Tertinggal","IV - Berkembang Cepat")))</f>
        <v>II - Maju tapi Tertekan</v>
      </c>
    </row>
    <row r="23" customFormat="false" ht="15" hidden="false" customHeight="false" outlineLevel="0" collapsed="false">
      <c r="A23" s="8" t="s">
        <v>60</v>
      </c>
      <c r="B23" s="8" t="n">
        <v>2022</v>
      </c>
      <c r="C23" s="14" t="n">
        <f aca="false">'3. Total PDRB &amp; Per Kapita'!E20</f>
        <v>229.52539223782</v>
      </c>
      <c r="D23" s="18" t="n">
        <f aca="false">'4. Laju Pertumbuhan'!C6</f>
        <v>0.000875006414013171</v>
      </c>
      <c r="E23" s="14" t="n">
        <f aca="false">'3. Total PDRB &amp; Per Kapita'!E32</f>
        <v>87.248689594057</v>
      </c>
      <c r="F23" s="18" t="n">
        <f aca="false">'4. Laju Pertumbuhan'!C9</f>
        <v>0.0565401093880207</v>
      </c>
      <c r="G23" s="20" t="str">
        <f aca="false">IF(C23&gt;=E23,"Tinggi","Rendah")</f>
        <v>Tinggi</v>
      </c>
      <c r="H23" s="20" t="str">
        <f aca="false">IF(D23&gt;=F23,"Tinggi","Rendah")</f>
        <v>Rendah</v>
      </c>
      <c r="I23" s="13" t="str">
        <f aca="false">IF(AND(G23="Tinggi",H23="Tinggi"),"I - Maju &amp; Tumbuh Cepat",IF(AND(G23="Tinggi",H23="Rendah"),"II - Maju tapi Tertekan",IF(AND(G23="Rendah",H23="Rendah"),"III - Relatif Tertinggal","IV - Berkembang Cepat")))</f>
        <v>II - Maju tapi Tertekan</v>
      </c>
    </row>
    <row r="24" customFormat="false" ht="15" hidden="false" customHeight="false" outlineLevel="0" collapsed="false">
      <c r="A24" s="8" t="s">
        <v>60</v>
      </c>
      <c r="B24" s="8" t="n">
        <v>2023</v>
      </c>
      <c r="C24" s="14" t="n">
        <f aca="false">'3. Total PDRB &amp; Per Kapita'!F20</f>
        <v>228.453045426767</v>
      </c>
      <c r="D24" s="18" t="n">
        <f aca="false">'4. Laju Pertumbuhan'!D6</f>
        <v>0.0086839518231801</v>
      </c>
      <c r="E24" s="14" t="n">
        <f aca="false">'3. Total PDRB &amp; Per Kapita'!F32</f>
        <v>91.4165787896666</v>
      </c>
      <c r="F24" s="18" t="n">
        <f aca="false">'4. Laju Pertumbuhan'!D9</f>
        <v>0.0631547839814239</v>
      </c>
      <c r="G24" s="20" t="str">
        <f aca="false">IF(C24&gt;=E24,"Tinggi","Rendah")</f>
        <v>Tinggi</v>
      </c>
      <c r="H24" s="20" t="str">
        <f aca="false">IF(D24&gt;=F24,"Tinggi","Rendah")</f>
        <v>Rendah</v>
      </c>
      <c r="I24" s="13" t="str">
        <f aca="false">IF(AND(G24="Tinggi",H24="Tinggi"),"I - Maju &amp; Tumbuh Cepat",IF(AND(G24="Tinggi",H24="Rendah"),"II - Maju tapi Tertekan",IF(AND(G24="Rendah",H24="Rendah"),"III - Relatif Tertinggal","IV - Berkembang Cepat")))</f>
        <v>II - Maju tapi Tertekan</v>
      </c>
    </row>
    <row r="25" customFormat="false" ht="15" hidden="false" customHeight="false" outlineLevel="0" collapsed="false">
      <c r="A25" s="8" t="s">
        <v>60</v>
      </c>
      <c r="B25" s="8" t="n">
        <v>2024</v>
      </c>
      <c r="C25" s="14" t="n">
        <f aca="false">'3. Total PDRB &amp; Per Kapita'!G20</f>
        <v>227.007038005228</v>
      </c>
      <c r="D25" s="18" t="n">
        <f aca="false">'4. Laju Pertumbuhan'!E6</f>
        <v>0.00662519750757032</v>
      </c>
      <c r="E25" s="14" t="n">
        <f aca="false">'3. Total PDRB &amp; Per Kapita'!G32</f>
        <v>96.4388514581205</v>
      </c>
      <c r="F25" s="18" t="n">
        <f aca="false">'4. Laju Pertumbuhan'!E9</f>
        <v>0.0699638444936675</v>
      </c>
      <c r="G25" s="20" t="str">
        <f aca="false">IF(C25&gt;=E25,"Tinggi","Rendah")</f>
        <v>Tinggi</v>
      </c>
      <c r="H25" s="20" t="str">
        <f aca="false">IF(D25&gt;=F25,"Tinggi","Rendah")</f>
        <v>Rendah</v>
      </c>
      <c r="I25" s="13" t="str">
        <f aca="false">IF(AND(G25="Tinggi",H25="Tinggi"),"I - Maju &amp; Tumbuh Cepat",IF(AND(G25="Tinggi",H25="Rendah"),"II - Maju tapi Tertekan",IF(AND(G25="Rendah",H25="Rendah"),"III - Relatif Tertinggal","IV - Berkembang Cepat")))</f>
        <v>II - Maju tapi Tertekan</v>
      </c>
    </row>
    <row r="26" customFormat="false" ht="15" hidden="false" customHeight="false" outlineLevel="0" collapsed="false">
      <c r="A26" s="8" t="s">
        <v>60</v>
      </c>
      <c r="B26" s="8" t="n">
        <v>2025</v>
      </c>
      <c r="C26" s="14" t="n">
        <f aca="false">'3. Total PDRB &amp; Per Kapita'!H20</f>
        <v>227.062946783161</v>
      </c>
      <c r="D26" s="18" t="n">
        <f aca="false">'4. Laju Pertumbuhan'!F6</f>
        <v>0.0129178160094817</v>
      </c>
      <c r="E26" s="14" t="n">
        <f aca="false">'3. Total PDRB &amp; Per Kapita'!H32</f>
        <v>100.734519711221</v>
      </c>
      <c r="F26" s="18" t="n">
        <f aca="false">'4. Laju Pertumbuhan'!F9</f>
        <v>0.0589770376223714</v>
      </c>
      <c r="G26" s="20" t="str">
        <f aca="false">IF(C26&gt;=E26,"Tinggi","Rendah")</f>
        <v>Tinggi</v>
      </c>
      <c r="H26" s="20" t="str">
        <f aca="false">IF(D26&gt;=F26,"Tinggi","Rendah")</f>
        <v>Rendah</v>
      </c>
      <c r="I26" s="13" t="str">
        <f aca="false">IF(AND(G26="Tinggi",H26="Tinggi"),"I - Maju &amp; Tumbuh Cepat",IF(AND(G26="Tinggi",H26="Rendah"),"II - Maju tapi Tertekan",IF(AND(G26="Rendah",H26="Rendah"),"III - Relatif Tertinggal","IV - Berkembang Cepat")))</f>
        <v>II - Maju tapi Tertekan</v>
      </c>
    </row>
    <row r="27" customFormat="false" ht="15" hidden="false" customHeight="false" outlineLevel="0" collapsed="false">
      <c r="A27" s="8" t="s">
        <v>61</v>
      </c>
      <c r="B27" s="8" t="n">
        <v>2021</v>
      </c>
      <c r="C27" s="14" t="n">
        <f aca="false">'3. Total PDRB &amp; Per Kapita'!D24</f>
        <v>91.4042250275688</v>
      </c>
      <c r="D27" s="18" t="n">
        <f aca="false">'4. Laju Pertumbuhan'!B7</f>
        <v>0.0475469415333586</v>
      </c>
      <c r="E27" s="14" t="n">
        <f aca="false">'3. Total PDRB &amp; Per Kapita'!D32</f>
        <v>83.8278713233711</v>
      </c>
      <c r="F27" s="18" t="n">
        <f aca="false">'4. Laju Pertumbuhan'!B9</f>
        <v>0.0323767448767448</v>
      </c>
      <c r="G27" s="20" t="str">
        <f aca="false">IF(C27&gt;=E27,"Tinggi","Rendah")</f>
        <v>Tinggi</v>
      </c>
      <c r="H27" s="20" t="str">
        <f aca="false">IF(D27&gt;=F27,"Tinggi","Rendah")</f>
        <v>Tinggi</v>
      </c>
      <c r="I27" s="13" t="str">
        <f aca="false">IF(AND(G27="Tinggi",H27="Tinggi"),"I - Maju &amp; Tumbuh Cepat",IF(AND(G27="Tinggi",H27="Rendah"),"II - Maju tapi Tertekan",IF(AND(G27="Rendah",H27="Rendah"),"III - Relatif Tertinggal","IV - Berkembang Cepat")))</f>
        <v>I - Maju &amp; Tumbuh Cepat</v>
      </c>
    </row>
    <row r="28" customFormat="false" ht="15" hidden="false" customHeight="false" outlineLevel="0" collapsed="false">
      <c r="A28" s="8" t="s">
        <v>61</v>
      </c>
      <c r="B28" s="8" t="n">
        <v>2022</v>
      </c>
      <c r="C28" s="14" t="n">
        <f aca="false">'3. Total PDRB &amp; Per Kapita'!E24</f>
        <v>96.0066585221803</v>
      </c>
      <c r="D28" s="18" t="n">
        <f aca="false">'4. Laju Pertumbuhan'!C7</f>
        <v>0.0683923037702804</v>
      </c>
      <c r="E28" s="14" t="n">
        <f aca="false">'3. Total PDRB &amp; Per Kapita'!E32</f>
        <v>87.248689594057</v>
      </c>
      <c r="F28" s="18" t="n">
        <f aca="false">'4. Laju Pertumbuhan'!C9</f>
        <v>0.0565401093880207</v>
      </c>
      <c r="G28" s="20" t="str">
        <f aca="false">IF(C28&gt;=E28,"Tinggi","Rendah")</f>
        <v>Tinggi</v>
      </c>
      <c r="H28" s="20" t="str">
        <f aca="false">IF(D28&gt;=F28,"Tinggi","Rendah")</f>
        <v>Tinggi</v>
      </c>
      <c r="I28" s="13" t="str">
        <f aca="false">IF(AND(G28="Tinggi",H28="Tinggi"),"I - Maju &amp; Tumbuh Cepat",IF(AND(G28="Tinggi",H28="Rendah"),"II - Maju tapi Tertekan",IF(AND(G28="Rendah",H28="Rendah"),"III - Relatif Tertinggal","IV - Berkembang Cepat")))</f>
        <v>I - Maju &amp; Tumbuh Cepat</v>
      </c>
    </row>
    <row r="29" customFormat="false" ht="15" hidden="false" customHeight="false" outlineLevel="0" collapsed="false">
      <c r="A29" s="8" t="s">
        <v>61</v>
      </c>
      <c r="B29" s="8" t="n">
        <v>2023</v>
      </c>
      <c r="C29" s="14" t="n">
        <f aca="false">'3. Total PDRB &amp; Per Kapita'!F24</f>
        <v>101.170912216201</v>
      </c>
      <c r="D29" s="18" t="n">
        <f aca="false">'4. Laju Pertumbuhan'!D7</f>
        <v>0.071353612630629</v>
      </c>
      <c r="E29" s="14" t="n">
        <f aca="false">'3. Total PDRB &amp; Per Kapita'!F32</f>
        <v>91.4165787896666</v>
      </c>
      <c r="F29" s="18" t="n">
        <f aca="false">'4. Laju Pertumbuhan'!D9</f>
        <v>0.0631547839814239</v>
      </c>
      <c r="G29" s="20" t="str">
        <f aca="false">IF(C29&gt;=E29,"Tinggi","Rendah")</f>
        <v>Tinggi</v>
      </c>
      <c r="H29" s="20" t="str">
        <f aca="false">IF(D29&gt;=F29,"Tinggi","Rendah")</f>
        <v>Tinggi</v>
      </c>
      <c r="I29" s="13" t="str">
        <f aca="false">IF(AND(G29="Tinggi",H29="Tinggi"),"I - Maju &amp; Tumbuh Cepat",IF(AND(G29="Tinggi",H29="Rendah"),"II - Maju tapi Tertekan",IF(AND(G29="Rendah",H29="Rendah"),"III - Relatif Tertinggal","IV - Berkembang Cepat")))</f>
        <v>I - Maju &amp; Tumbuh Cepat</v>
      </c>
    </row>
    <row r="30" customFormat="false" ht="15" hidden="false" customHeight="false" outlineLevel="0" collapsed="false">
      <c r="A30" s="8" t="s">
        <v>61</v>
      </c>
      <c r="B30" s="8" t="n">
        <v>2024</v>
      </c>
      <c r="C30" s="14" t="n">
        <f aca="false">'3. Total PDRB &amp; Per Kapita'!G24</f>
        <v>107.460087866993</v>
      </c>
      <c r="D30" s="18" t="n">
        <f aca="false">'4. Laju Pertumbuhan'!E7</f>
        <v>0.0793395828820323</v>
      </c>
      <c r="E30" s="14" t="n">
        <f aca="false">'3. Total PDRB &amp; Per Kapita'!G32</f>
        <v>96.4388514581205</v>
      </c>
      <c r="F30" s="18" t="n">
        <f aca="false">'4. Laju Pertumbuhan'!E9</f>
        <v>0.0699638444936675</v>
      </c>
      <c r="G30" s="20" t="str">
        <f aca="false">IF(C30&gt;=E30,"Tinggi","Rendah")</f>
        <v>Tinggi</v>
      </c>
      <c r="H30" s="20" t="str">
        <f aca="false">IF(D30&gt;=F30,"Tinggi","Rendah")</f>
        <v>Tinggi</v>
      </c>
      <c r="I30" s="13" t="str">
        <f aca="false">IF(AND(G30="Tinggi",H30="Tinggi"),"I - Maju &amp; Tumbuh Cepat",IF(AND(G30="Tinggi",H30="Rendah"),"II - Maju tapi Tertekan",IF(AND(G30="Rendah",H30="Rendah"),"III - Relatif Tertinggal","IV - Berkembang Cepat")))</f>
        <v>I - Maju &amp; Tumbuh Cepat</v>
      </c>
    </row>
    <row r="31" customFormat="false" ht="15" hidden="false" customHeight="false" outlineLevel="0" collapsed="false">
      <c r="A31" s="8" t="s">
        <v>61</v>
      </c>
      <c r="B31" s="8" t="n">
        <v>2025</v>
      </c>
      <c r="C31" s="14" t="n">
        <f aca="false">'3. Total PDRB &amp; Per Kapita'!H24</f>
        <v>112.460145262768</v>
      </c>
      <c r="D31" s="18" t="n">
        <f aca="false">'4. Laju Pertumbuhan'!F7</f>
        <v>0.0629453601217498</v>
      </c>
      <c r="E31" s="14" t="n">
        <f aca="false">'3. Total PDRB &amp; Per Kapita'!H32</f>
        <v>100.734519711221</v>
      </c>
      <c r="F31" s="18" t="n">
        <f aca="false">'4. Laju Pertumbuhan'!F9</f>
        <v>0.0589770376223714</v>
      </c>
      <c r="G31" s="20" t="str">
        <f aca="false">IF(C31&gt;=E31,"Tinggi","Rendah")</f>
        <v>Tinggi</v>
      </c>
      <c r="H31" s="20" t="str">
        <f aca="false">IF(D31&gt;=F31,"Tinggi","Rendah")</f>
        <v>Tinggi</v>
      </c>
      <c r="I31" s="13" t="str">
        <f aca="false">IF(AND(G31="Tinggi",H31="Tinggi"),"I - Maju &amp; Tumbuh Cepat",IF(AND(G31="Tinggi",H31="Rendah"),"II - Maju tapi Tertekan",IF(AND(G31="Rendah",H31="Rendah"),"III - Relatif Tertinggal","IV - Berkembang Cepat")))</f>
        <v>I - Maju &amp; Tumbuh Cepat</v>
      </c>
    </row>
    <row r="32" customFormat="false" ht="15" hidden="false" customHeight="false" outlineLevel="0" collapsed="false">
      <c r="A32" s="8" t="s">
        <v>62</v>
      </c>
      <c r="B32" s="8" t="n">
        <v>2021</v>
      </c>
      <c r="C32" s="14" t="n">
        <f aca="false">'3. Total PDRB &amp; Per Kapita'!D28</f>
        <v>61.0795939705498</v>
      </c>
      <c r="D32" s="18" t="n">
        <f aca="false">'4. Laju Pertumbuhan'!B8</f>
        <v>0.00588238670361063</v>
      </c>
      <c r="E32" s="14" t="n">
        <f aca="false">'3. Total PDRB &amp; Per Kapita'!D32</f>
        <v>83.8278713233711</v>
      </c>
      <c r="F32" s="18" t="n">
        <f aca="false">'4. Laju Pertumbuhan'!B9</f>
        <v>0.0323767448767448</v>
      </c>
      <c r="G32" s="20" t="str">
        <f aca="false">IF(C32&gt;=E32,"Tinggi","Rendah")</f>
        <v>Rendah</v>
      </c>
      <c r="H32" s="20" t="str">
        <f aca="false">IF(D32&gt;=F32,"Tinggi","Rendah")</f>
        <v>Rendah</v>
      </c>
      <c r="I32" s="13" t="str">
        <f aca="false">IF(AND(G32="Tinggi",H32="Tinggi"),"I - Maju &amp; Tumbuh Cepat",IF(AND(G32="Tinggi",H32="Rendah"),"II - Maju tapi Tertekan",IF(AND(G32="Rendah",H32="Rendah"),"III - Relatif Tertinggal","IV - Berkembang Cepat")))</f>
        <v>III - Relatif Tertinggal</v>
      </c>
    </row>
    <row r="33" customFormat="false" ht="15" hidden="false" customHeight="false" outlineLevel="0" collapsed="false">
      <c r="A33" s="8" t="s">
        <v>62</v>
      </c>
      <c r="B33" s="8" t="n">
        <v>2022</v>
      </c>
      <c r="C33" s="14" t="n">
        <f aca="false">'3. Total PDRB &amp; Per Kapita'!E28</f>
        <v>62.8664082687339</v>
      </c>
      <c r="D33" s="18" t="n">
        <f aca="false">'4. Laju Pertumbuhan'!C8</f>
        <v>0.0411812661864551</v>
      </c>
      <c r="E33" s="14" t="n">
        <f aca="false">'3. Total PDRB &amp; Per Kapita'!E32</f>
        <v>87.248689594057</v>
      </c>
      <c r="F33" s="18" t="n">
        <f aca="false">'4. Laju Pertumbuhan'!C9</f>
        <v>0.0565401093880207</v>
      </c>
      <c r="G33" s="20" t="str">
        <f aca="false">IF(C33&gt;=E33,"Tinggi","Rendah")</f>
        <v>Rendah</v>
      </c>
      <c r="H33" s="20" t="str">
        <f aca="false">IF(D33&gt;=F33,"Tinggi","Rendah")</f>
        <v>Rendah</v>
      </c>
      <c r="I33" s="13" t="str">
        <f aca="false">IF(AND(G33="Tinggi",H33="Tinggi"),"I - Maju &amp; Tumbuh Cepat",IF(AND(G33="Tinggi",H33="Rendah"),"II - Maju tapi Tertekan",IF(AND(G33="Rendah",H33="Rendah"),"III - Relatif Tertinggal","IV - Berkembang Cepat")))</f>
        <v>III - Relatif Tertinggal</v>
      </c>
    </row>
    <row r="34" customFormat="false" ht="15" hidden="false" customHeight="false" outlineLevel="0" collapsed="false">
      <c r="A34" s="8" t="s">
        <v>62</v>
      </c>
      <c r="B34" s="8" t="n">
        <v>2023</v>
      </c>
      <c r="C34" s="14" t="n">
        <f aca="false">'3. Total PDRB &amp; Per Kapita'!F28</f>
        <v>65.2188724237779</v>
      </c>
      <c r="D34" s="18" t="n">
        <f aca="false">'4. Laju Pertumbuhan'!D8</f>
        <v>0.0492150068710019</v>
      </c>
      <c r="E34" s="14" t="n">
        <f aca="false">'3. Total PDRB &amp; Per Kapita'!F32</f>
        <v>91.4165787896666</v>
      </c>
      <c r="F34" s="18" t="n">
        <f aca="false">'4. Laju Pertumbuhan'!D9</f>
        <v>0.0631547839814239</v>
      </c>
      <c r="G34" s="20" t="str">
        <f aca="false">IF(C34&gt;=E34,"Tinggi","Rendah")</f>
        <v>Rendah</v>
      </c>
      <c r="H34" s="20" t="str">
        <f aca="false">IF(D34&gt;=F34,"Tinggi","Rendah")</f>
        <v>Rendah</v>
      </c>
      <c r="I34" s="13" t="str">
        <f aca="false">IF(AND(G34="Tinggi",H34="Tinggi"),"I - Maju &amp; Tumbuh Cepat",IF(AND(G34="Tinggi",H34="Rendah"),"II - Maju tapi Tertekan",IF(AND(G34="Rendah",H34="Rendah"),"III - Relatif Tertinggal","IV - Berkembang Cepat")))</f>
        <v>III - Relatif Tertinggal</v>
      </c>
    </row>
    <row r="35" customFormat="false" ht="15" hidden="false" customHeight="false" outlineLevel="0" collapsed="false">
      <c r="A35" s="8" t="s">
        <v>62</v>
      </c>
      <c r="B35" s="8" t="n">
        <v>2024</v>
      </c>
      <c r="C35" s="14" t="n">
        <f aca="false">'3. Total PDRB &amp; Per Kapita'!G28</f>
        <v>66.9449521964368</v>
      </c>
      <c r="D35" s="18" t="n">
        <f aca="false">'4. Laju Pertumbuhan'!E8</f>
        <v>0.0377866283624967</v>
      </c>
      <c r="E35" s="14" t="n">
        <f aca="false">'3. Total PDRB &amp; Per Kapita'!G32</f>
        <v>96.4388514581205</v>
      </c>
      <c r="F35" s="18" t="n">
        <f aca="false">'4. Laju Pertumbuhan'!E9</f>
        <v>0.0699638444936675</v>
      </c>
      <c r="G35" s="20" t="str">
        <f aca="false">IF(C35&gt;=E35,"Tinggi","Rendah")</f>
        <v>Rendah</v>
      </c>
      <c r="H35" s="20" t="str">
        <f aca="false">IF(D35&gt;=F35,"Tinggi","Rendah")</f>
        <v>Rendah</v>
      </c>
      <c r="I35" s="13" t="str">
        <f aca="false">IF(AND(G35="Tinggi",H35="Tinggi"),"I - Maju &amp; Tumbuh Cepat",IF(AND(G35="Tinggi",H35="Rendah"),"II - Maju tapi Tertekan",IF(AND(G35="Rendah",H35="Rendah"),"III - Relatif Tertinggal","IV - Berkembang Cepat")))</f>
        <v>III - Relatif Tertinggal</v>
      </c>
    </row>
    <row r="36" customFormat="false" ht="15" hidden="false" customHeight="false" outlineLevel="0" collapsed="false">
      <c r="A36" s="8" t="s">
        <v>62</v>
      </c>
      <c r="B36" s="8" t="n">
        <v>2025</v>
      </c>
      <c r="C36" s="14" t="n">
        <f aca="false">'3. Total PDRB &amp; Per Kapita'!H28</f>
        <v>69.5077096182697</v>
      </c>
      <c r="D36" s="18" t="n">
        <f aca="false">'4. Laju Pertumbuhan'!F8</f>
        <v>0.0493452550969692</v>
      </c>
      <c r="E36" s="14" t="n">
        <f aca="false">'3. Total PDRB &amp; Per Kapita'!H32</f>
        <v>100.734519711221</v>
      </c>
      <c r="F36" s="18" t="n">
        <f aca="false">'4. Laju Pertumbuhan'!F9</f>
        <v>0.0589770376223714</v>
      </c>
      <c r="G36" s="20" t="str">
        <f aca="false">IF(C36&gt;=E36,"Tinggi","Rendah")</f>
        <v>Rendah</v>
      </c>
      <c r="H36" s="20" t="str">
        <f aca="false">IF(D36&gt;=F36,"Tinggi","Rendah")</f>
        <v>Rendah</v>
      </c>
      <c r="I36" s="13" t="str">
        <f aca="false">IF(AND(G36="Tinggi",H36="Tinggi"),"I - Maju &amp; Tumbuh Cepat",IF(AND(G36="Tinggi",H36="Rendah"),"II - Maju tapi Tertekan",IF(AND(G36="Rendah",H36="Rendah"),"III - Relatif Tertinggal","IV - Berkembang Cepat")))</f>
        <v>III - Relatif Tertinggal</v>
      </c>
    </row>
    <row r="38" customFormat="false" ht="15" hidden="false" customHeight="false" outlineLevel="0" collapsed="false">
      <c r="A38" s="3" t="s">
        <v>80</v>
      </c>
    </row>
    <row r="39" customFormat="false" ht="15" hidden="false" customHeight="false" outlineLevel="0" collapsed="false">
      <c r="A39" s="10" t="s">
        <v>81</v>
      </c>
    </row>
    <row r="40" customFormat="false" ht="15" hidden="false" customHeight="false" outlineLevel="0" collapsed="false">
      <c r="A40" s="10" t="s">
        <v>82</v>
      </c>
    </row>
    <row r="41" customFormat="false" ht="15" hidden="false" customHeight="false" outlineLevel="0" collapsed="false">
      <c r="A41" s="10" t="s">
        <v>83</v>
      </c>
    </row>
    <row r="42" customFormat="false" ht="15" hidden="false" customHeight="false" outlineLevel="0" collapsed="false">
      <c r="A42" s="10" t="s">
        <v>84</v>
      </c>
    </row>
  </sheetData>
  <conditionalFormatting sqref="I2:I36">
    <cfRule type="expression" priority="2" aboveAverage="0" equalAverage="0" bottom="0" percent="0" rank="0" text="" dxfId="0">
      <formula>LEFT(I2,3)="III"</formula>
    </cfRule>
    <cfRule type="expression" priority="3" aboveAverage="0" equalAverage="0" bottom="0" percent="0" rank="0" text="" dxfId="1">
      <formula>LEFT(I2,2)="II"</formula>
    </cfRule>
    <cfRule type="expression" priority="4" aboveAverage="0" equalAverage="0" bottom="0" percent="0" rank="0" text="" dxfId="2">
      <formula>LEFT(I2,2)="IV"</formula>
    </cfRule>
    <cfRule type="expression" priority="5" aboveAverage="0" equalAverage="0" bottom="0" percent="0" rank="0" text="" dxfId="3">
      <formula>LEFT(I2,1)="I"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2026-09-14T07:53:49Z</dcterms:created>
  <dc:creator>openpyxl</dc:creator>
  <dc:description/>
  <dc:language>en-US</dc:language>
  <cp:lastModifiedBy/>
  <dcterms:modified xsi:type="dcterms:W3CDTF">2026-09-14T07:54:52Z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