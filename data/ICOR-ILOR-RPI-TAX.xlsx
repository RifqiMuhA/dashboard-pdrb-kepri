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ctus\Downloads\"/>
    </mc:Choice>
  </mc:AlternateContent>
  <xr:revisionPtr revIDLastSave="0" documentId="13_ncr:1_{AACE4BEA-D90C-43B6-B388-A03C2055A910}" xr6:coauthVersionLast="47" xr6:coauthVersionMax="47" xr10:uidLastSave="{00000000-0000-0000-0000-000000000000}"/>
  <bookViews>
    <workbookView xWindow="-108" yWindow="-108" windowWidth="23256" windowHeight="13176" xr2:uid="{00000000-000D-0000-FFFF-FFFF00000000}"/>
  </bookViews>
  <sheets>
    <sheet name="Tax Ratio" sheetId="2" r:id="rId1"/>
    <sheet name="Analisis + Kebutuhan Data" sheetId="3" r:id="rId2"/>
    <sheet name="Sumber Pertumbuhan Ekonomi" sheetId="4" r:id="rId3"/>
    <sheet name="Indeks Implisit" sheetId="5" r:id="rId4"/>
    <sheet name="Laju Implisit" sheetId="6" r:id="rId5"/>
    <sheet name="PDRB ADHK KabupatenKota" sheetId="7" r:id="rId6"/>
    <sheet name="PDRB ADHK" sheetId="8" r:id="rId7"/>
    <sheet name="PDRB ADHB" sheetId="9" r:id="rId8"/>
    <sheet name="Copy of PDRB ADHB" sheetId="10" r:id="rId9"/>
    <sheet name="PDRB PERKAPITA ADHK 2021-2025" sheetId="11" r:id="rId10"/>
    <sheet name="PDRB PERKAPITA ADHB 2021-2025" sheetId="12" r:id="rId11"/>
    <sheet name="Laju Pertumbuhan" sheetId="13" r:id="rId12"/>
    <sheet name="TIPOLOGI KLASSEN" sheetId="14" r:id="rId13"/>
    <sheet name="RASIO PERDAGANGAN INTERNASIONAL" sheetId="15" r:id="rId14"/>
    <sheet name="ICOR" sheetId="16" r:id="rId15"/>
    <sheet name="ILOR &amp; ETK" sheetId="17" r:id="rId16"/>
    <sheet name="Sheet19" sheetId="18"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6" i="10" l="1"/>
  <c r="H63" i="10"/>
  <c r="I63" i="10" s="1"/>
  <c r="H62" i="10"/>
  <c r="I62" i="10" s="1"/>
  <c r="H61" i="10"/>
  <c r="I61" i="10" s="1"/>
  <c r="H60" i="10"/>
  <c r="I60" i="10" s="1"/>
  <c r="H59" i="10"/>
  <c r="I59" i="10" s="1"/>
  <c r="H58" i="10"/>
  <c r="I58" i="10" s="1"/>
  <c r="H53" i="10"/>
  <c r="I53" i="10" s="1"/>
  <c r="H52" i="10"/>
  <c r="I52" i="10" s="1"/>
  <c r="H49" i="10"/>
  <c r="I49" i="10" s="1"/>
  <c r="H42" i="10"/>
  <c r="I42" i="10" s="1"/>
  <c r="H39" i="10"/>
  <c r="I39" i="10" s="1"/>
  <c r="H38" i="10"/>
  <c r="I38" i="10" s="1"/>
  <c r="H37" i="10"/>
  <c r="I37" i="10" s="1"/>
  <c r="H34" i="10"/>
  <c r="I34" i="10" s="1"/>
  <c r="H17" i="10"/>
  <c r="I17" i="10" s="1"/>
  <c r="H12" i="10"/>
  <c r="I12" i="10" s="1"/>
  <c r="H3" i="10"/>
  <c r="W32" i="4"/>
  <c r="W31" i="4"/>
  <c r="W30" i="4"/>
  <c r="W29" i="4"/>
  <c r="W28" i="4"/>
  <c r="W27" i="4"/>
  <c r="V22" i="4"/>
  <c r="R22" i="4"/>
  <c r="Q22" i="4"/>
  <c r="N22" i="4"/>
  <c r="J22" i="4"/>
  <c r="F22" i="4"/>
  <c r="X20" i="4"/>
  <c r="W20" i="4"/>
  <c r="V20" i="4"/>
  <c r="X19" i="4"/>
  <c r="W19" i="4"/>
  <c r="V19" i="4"/>
  <c r="X18" i="4"/>
  <c r="W18" i="4"/>
  <c r="V18" i="4"/>
  <c r="X17" i="4"/>
  <c r="W17" i="4"/>
  <c r="V17" i="4"/>
  <c r="X16" i="4"/>
  <c r="W16" i="4"/>
  <c r="V16" i="4"/>
  <c r="X15" i="4"/>
  <c r="W15" i="4"/>
  <c r="V15" i="4"/>
  <c r="X14" i="4"/>
  <c r="W14" i="4"/>
  <c r="V14" i="4"/>
  <c r="X13" i="4"/>
  <c r="W13" i="4"/>
  <c r="V13" i="4"/>
  <c r="X12" i="4"/>
  <c r="W12" i="4"/>
  <c r="V12" i="4"/>
  <c r="X11" i="4"/>
  <c r="W11" i="4"/>
  <c r="V11" i="4"/>
  <c r="X10" i="4"/>
  <c r="W10" i="4"/>
  <c r="V10" i="4"/>
  <c r="X9" i="4"/>
  <c r="W9" i="4"/>
  <c r="V9" i="4"/>
  <c r="X8" i="4"/>
  <c r="W8" i="4"/>
  <c r="V8" i="4"/>
  <c r="X7" i="4"/>
  <c r="W7" i="4"/>
  <c r="V7" i="4"/>
  <c r="X6" i="4"/>
  <c r="W6" i="4"/>
  <c r="V6" i="4"/>
  <c r="X5" i="4"/>
  <c r="W5" i="4"/>
  <c r="V5" i="4"/>
  <c r="X4" i="4"/>
  <c r="W4" i="4"/>
  <c r="V4" i="4"/>
  <c r="H6" i="2"/>
  <c r="G6" i="2"/>
  <c r="F6" i="2"/>
  <c r="L7" i="2" s="1"/>
  <c r="E6" i="2"/>
  <c r="L6" i="2" s="1"/>
  <c r="D6" i="2"/>
  <c r="C6" i="2"/>
  <c r="L4" i="2" s="1"/>
  <c r="B6" i="2"/>
  <c r="L3" i="2" s="1"/>
  <c r="L5" i="2"/>
  <c r="H64" i="10" l="1"/>
  <c r="I3" i="10"/>
</calcChain>
</file>

<file path=xl/sharedStrings.xml><?xml version="1.0" encoding="utf-8"?>
<sst xmlns="http://schemas.openxmlformats.org/spreadsheetml/2006/main" count="2028" uniqueCount="977">
  <si>
    <t>No</t>
  </si>
  <si>
    <t>UNAUDITED</t>
  </si>
  <si>
    <t>Uraian</t>
  </si>
  <si>
    <t>Analisis</t>
  </si>
  <si>
    <t>Data</t>
  </si>
  <si>
    <t>Tahun</t>
  </si>
  <si>
    <t>Link</t>
  </si>
  <si>
    <t>Tax Ratio</t>
  </si>
  <si>
    <t>Saha</t>
  </si>
  <si>
    <t>Menurut Lapangan Usaha Tahun Dasar 2010 (persen)</t>
  </si>
  <si>
    <t>PDRB (ADHB) (miliar rupiah)</t>
  </si>
  <si>
    <t>Lapangan Usaha</t>
  </si>
  <si>
    <t>MONITORING PERILAKU EKONOMI</t>
  </si>
  <si>
    <t>Penerimaan Perpajakan (miliar rupiah)</t>
  </si>
  <si>
    <t>Dari Provinsi dalam Angka</t>
  </si>
  <si>
    <t>Penerimaan SDA (miliar rupiah)</t>
  </si>
  <si>
    <t>Nilai nominal PDB/PDRB</t>
  </si>
  <si>
    <t>Laju pertumbuhan ekonomi</t>
  </si>
  <si>
    <t>Triwulan I 2021** terhadap Triwulan IV 2020** (q-to-q)</t>
  </si>
  <si>
    <t>portal djpk tkdd kemenkeu</t>
  </si>
  <si>
    <t>Peranan/kontribusi ekonomi</t>
  </si>
  <si>
    <t>Triwulan I 2021** terhadap Triwulan I 2020** (y-on-y)</t>
  </si>
  <si>
    <t>Sumber Pertumbuhan (q-to-q)</t>
  </si>
  <si>
    <t>Sumber Pertumbuhan (y-on-y)</t>
  </si>
  <si>
    <t>Triw I-2022 Terhadap Triw IV-2021 (q-to-q)**</t>
  </si>
  <si>
    <t>Triw I-2022 Terhadap Triw I-2021 (y-on-y)**</t>
  </si>
  <si>
    <t>Rasio Pajak</t>
  </si>
  <si>
    <t>PDRB perkapita</t>
  </si>
  <si>
    <t>Triw I-2023 Terhadap Triw IV-2022 (q-to-q)**</t>
  </si>
  <si>
    <t>Triw I-2023 Terhadap Triw I-2022 (y-on-y)**</t>
  </si>
  <si>
    <t>Triw I-2024 Terhadap Triw IV-2023 (q-to-q)**</t>
  </si>
  <si>
    <t>Triw I-2024 Terhadap Triw I-2023 (y-on-y)**</t>
  </si>
  <si>
    <t>Triw I-2025 Terhadap Triw IV-2024 (q-to-q)**</t>
  </si>
  <si>
    <t>Sumber Pertumbuhan Ekonomi</t>
  </si>
  <si>
    <t>Triw I-2025 Terhadap Triw I-2024 (y-on-y)**</t>
  </si>
  <si>
    <t>RANK SUMBER 2024</t>
  </si>
  <si>
    <t>RANK SUMBER 2025</t>
  </si>
  <si>
    <t>A. Pertanian, Kehutanan dan Perikanan</t>
  </si>
  <si>
    <r>
      <rPr>
        <sz val="10"/>
        <color theme="1"/>
        <rFont val="Arial"/>
        <family val="2"/>
      </rPr>
      <t xml:space="preserve">Tabel 3. Laju Pertumbuhan dan Sumber Pertumbuhan PDRB Kepulauan Riau q-to-q dan y-on-y </t>
    </r>
    <r>
      <rPr>
        <b/>
        <sz val="10"/>
        <color theme="1"/>
        <rFont val="Arial"/>
        <family val="2"/>
      </rPr>
      <t xml:space="preserve">Triwulan I-2026 </t>
    </r>
    <r>
      <rPr>
        <sz val="10"/>
        <color theme="1"/>
        <rFont val="Arial"/>
        <family val="2"/>
      </rPr>
      <t xml:space="preserve">Menurut Lapangan Usaha Tahun Dasar 2010 (persen) + Tabel 5. Laju Pertumbuhan dan Sumber Pertumbuhan PDRB Kepulauan Riau q-to-q dan y-on-y </t>
    </r>
    <r>
      <rPr>
        <b/>
        <sz val="10"/>
        <color theme="1"/>
        <rFont val="Arial"/>
        <family val="2"/>
      </rPr>
      <t>Triwulan I-2026</t>
    </r>
    <r>
      <rPr>
        <sz val="10"/>
        <color theme="1"/>
        <rFont val="Arial"/>
        <family val="2"/>
      </rPr>
      <t xml:space="preserve"> Menurut Pengeluaran Tahun Dasar 2010 (persen)</t>
    </r>
  </si>
  <si>
    <t>https://kepri.bps.go.id/id/pressrelease/2026/05/05/1671/pertumbuhan-ekonomi-provinsi-kepulauan-riau-triwulan-i-2026.html</t>
  </si>
  <si>
    <t>1. PDRB ADHB: BPS, PDRB Provinsi Sulawesi Tengah Menurut Lapangan Usaha 2020-2024 (Nilai PDRB, Miliar Rupiah).</t>
  </si>
  <si>
    <t>2. Pajak Daerah 2020: Sulteng Dalam Angka 2024, Tabel 2.4.1. Pajak Daerah 2021-2024: Sulteng Dalam Angka 2025, Tabel 2.4.1 (PDF hlm.127).</t>
  </si>
  <si>
    <t>3. Penerimaan SDA (DBH Bukan Pajak/SDA): 2020-2024 dari LKPD Provinsi Sulawesi Tengah (Audited), CaLK Bab V, Tabel 5.13 &amp; 5.15 (Realisasi Dana Bagi Hasil Bukan Pajak/Sumber Daya Alam), sumber BPKAD Prov. Sulteng.</t>
  </si>
  <si>
    <t>-&gt; Rincian per komponen (Migas, Minerba, Kehutanan) tersedia di CaLK LKPD masing-masing tahun; realisasi DBH 2023-2024 dipengaruhi mekanisme Treasury Deposit Facility (TDF) untuk penyaluran non-tunai.</t>
  </si>
  <si>
    <t>Irish</t>
  </si>
  <si>
    <t>4. Rasio Pajak dihitung otomatis (formula) = (Penerimaan Perpajakan + Penerimaan SDA) / PDRB ADHB.</t>
  </si>
  <si>
    <t>Untuk 2020-2024, rasio kini mencerminkan (Pajak Daerah + DBH SDA) terhadap PDRB ADHB, sesuai definisi awal.</t>
  </si>
  <si>
    <t>Tingkat tax ratio yang stabil atau meningkat dapat mengindikasikan pertumbuhan ekonomi yang sehat, meningkatnya produksi, dan daya beli masyarakat yang tinggi. Sebaliknya, penurunan tajam dalam tax ratio mungkin menjadi sinyal peringatan akan ketidakseimbangan atau masalah struktural dalam ekonomi.</t>
  </si>
  <si>
    <t>Indeks Implisit (PDRB deflator)</t>
  </si>
  <si>
    <t>Tabel 13.1.5 Indeks Harga Implisit Produk Domestik Regional Bruto Menurut Lapangan Usaha (2010=100), 2020–2024</t>
  </si>
  <si>
    <t>download.php</t>
  </si>
  <si>
    <t>-</t>
  </si>
  <si>
    <t>Tipologi Klassen</t>
  </si>
  <si>
    <t>B. Pertambangan dan Penggalian</t>
  </si>
  <si>
    <t>C. Industri Pengolahan</t>
  </si>
  <si>
    <t>Laju Indeks Implisit</t>
  </si>
  <si>
    <t>ANALISIS ANTAR WILAYAH</t>
  </si>
  <si>
    <t>D. Pengadaan Listrik dan Gas</t>
  </si>
  <si>
    <t>E. Pengadaan Air, Pengelolaan Sampah, Limbah dan Daur Ulang</t>
  </si>
  <si>
    <t>Rasio Perdagangan Internasional</t>
  </si>
  <si>
    <t>F. Konstruksi</t>
  </si>
  <si>
    <t>PDRB per kapita + pertumbuhan ekonomi kepulauan riau 2021 - 2025</t>
  </si>
  <si>
    <t>qiw</t>
  </si>
  <si>
    <t>ANALISIS MAKRO EKONOMI</t>
  </si>
  <si>
    <t>G. Perdagangan Besar dan Eceran, Reparasi Mobil dan Sepeda Motor</t>
  </si>
  <si>
    <t>Tabel 4.9  Rasio Perdagangan Internasional (RPI) Provinsi Kepulauan Riau, 2021–2025</t>
  </si>
  <si>
    <t>https://web-api.bps.go.id/download.php?f=uBM7Fv+q5BevRcrr98fJh3YrY0pwaDdtbDdMKzhpRGhCajJ6bjNhR2F5SU9YVVM1eEE3YStCL2JyNEo4dVBtR3Z4VjNNbjNFTHhZd0hvYzJRM0JGQjJQSDlyQmpCU2IwbVg3N3Yyazg4ZFVjMUVwUVJ6RGVVUFhMMDZraWRhV1VTbnJxZmhSS3ZyNldRemRHd1hQalA5R3A0ZnQ2YU5Pd2dhalN3OFhuUnlTWDM2Y0dhR09vY2NsUlFFYzkwY0pOdjRXYWh1cmNGYVExVWwvUmgzaHBKNkRLMDg5WEoxR0MxQjJhT2VKZm84dzZwTkVLR1dYbEJTV3pYVFZHajVtMllGdnJhVm9Qdjk5ZzRqbVBFWjZzMFdyc1F2MHp4VmttSjdWSnUxQ0xHankrTFhYZ3pZWmJqYVNNMUlpdjZscWRaVkJTSFJPYXY1NUlwNmdG&amp;_gl=1*qm62rh*_ga*MTU3Mzc1Nzc3Mi4xNzM4MTY0NTI4*_ga_XXTTVXWHDB*czE3ODg2ODE2NjIkbzIzJGcxJHQxNzg4NjgxNzU2JGo1OCRsMCRoMA..</t>
  </si>
  <si>
    <t>H. Transportasi dan Pergudangan</t>
  </si>
  <si>
    <t>I. Penyediaan Akomodasi dan Makan Minum</t>
  </si>
  <si>
    <t>J. Informasi dan Komunikasi</t>
  </si>
  <si>
    <t>K. Jasa Keuangan dan Asuransi</t>
  </si>
  <si>
    <t>L. Real Estat</t>
  </si>
  <si>
    <t>rip</t>
  </si>
  <si>
    <t>ICOR</t>
  </si>
  <si>
    <t>Tabel 4.10 Icremental Capital Output Ratio (ICOR) Provinsi Kepulauan Riau 2021-2025</t>
  </si>
  <si>
    <r>
      <rPr>
        <u/>
        <sz val="10"/>
        <color rgb="FF1155CC"/>
        <rFont val="Arial"/>
        <family val="2"/>
      </rPr>
      <t>Produk Domestik Regional Bruto Provinsi Kepulauan Riau Menurut Pengeluaran 2021-2025 - Badan Pusat Statistik Provinsi Kep. Riau</t>
    </r>
  </si>
  <si>
    <t>M,N. Jasa Perusahaan</t>
  </si>
  <si>
    <t>O. Administrasi Pemerintahan, Pertahanan dan Jaminan Sosial Wajib</t>
  </si>
  <si>
    <t>iche</t>
  </si>
  <si>
    <t>ILOR</t>
  </si>
  <si>
    <t>P. Jasa Pendidikan</t>
  </si>
  <si>
    <t>Q. Jasa Kesehatan dan Kegiatan Sosial</t>
  </si>
  <si>
    <t>R,S,T,U. Jasa Lainnya</t>
  </si>
  <si>
    <t>Produk Domestik Regional Bruto (PDRB)</t>
  </si>
  <si>
    <t>Menurut Pengeluaran Tahun Dasar 2010 (persen)</t>
  </si>
  <si>
    <t>Komponen</t>
  </si>
  <si>
    <t>2024*</t>
  </si>
  <si>
    <t>2025**</t>
  </si>
  <si>
    <t>A. Pertanian, Kehutanan, dan Perikanan</t>
  </si>
  <si>
    <t>1. Pertanian, Peternakan, Perburuan dan Jasa Pertanian</t>
  </si>
  <si>
    <t>a. Tanaman Pangan</t>
  </si>
  <si>
    <t>b. Tanaman Hortikultura</t>
  </si>
  <si>
    <t>c. Tanaman Perkebunan</t>
  </si>
  <si>
    <t>d. Peternakan</t>
  </si>
  <si>
    <t>e. Jasa Pertanian dan Perburuan</t>
  </si>
  <si>
    <t>2. Kehutanan dan Penebangan Kayu</t>
  </si>
  <si>
    <t>3. Perikanan</t>
  </si>
  <si>
    <t>Triw I-2022 Terhadap Triw IV 2021 (q-to-q)**</t>
  </si>
  <si>
    <t>1. Pertambangan Minyak, Gas, dan Panas Bumi</t>
  </si>
  <si>
    <t>Triw I-2023 Terhadap Triw IV 2022 (q-to-q)**</t>
  </si>
  <si>
    <t>2. Pertambangan Batubara dan Lignit</t>
  </si>
  <si>
    <t>Triw I-2024 Terhadap Triw IV 2023 (q-to-q)**</t>
  </si>
  <si>
    <t>–</t>
  </si>
  <si>
    <t>Sumber Pertumbuhan (y-on-y</t>
  </si>
  <si>
    <t>3. Pertambangan Bijih Logam</t>
  </si>
  <si>
    <t>Triw I-2025 Terhadap Triw IV 2024 (q-to-q)**</t>
  </si>
  <si>
    <t>4. Pertambangan dan Penggalian Lainnya</t>
  </si>
  <si>
    <t>1. Pengeluaran Konsumsi Rumah Tangga</t>
  </si>
  <si>
    <t>1. Industri Batubara dan Pengilangan Migas</t>
  </si>
  <si>
    <t>2. Industri Makanan dan Minuman</t>
  </si>
  <si>
    <t>3. Industri Pengolahan Tembakau</t>
  </si>
  <si>
    <t>4. Industri Tekstil dan Pakaian Jadi</t>
  </si>
  <si>
    <t>5. Industri Kulit, Barang dari Kulit dan Alas Kaki</t>
  </si>
  <si>
    <t>6. Industri Kayu, Barang dari Kayu dan Gabus, &amp; Anyaman</t>
  </si>
  <si>
    <t>7. Industri Kertas, Percetakan &amp; Reproduksi Media Rekaman</t>
  </si>
  <si>
    <t>2. Pengeluaran Konsumsi LNPRT</t>
  </si>
  <si>
    <t>8. Industri Kimia, Farmasi, dan Obat Tradisional</t>
  </si>
  <si>
    <t>9. Industri Karet, Barang dari Karet dan Plastik</t>
  </si>
  <si>
    <t>10. Industri Barang Galian Bukan Logam</t>
  </si>
  <si>
    <t>11. Industri Logam Dasar</t>
  </si>
  <si>
    <t>3. Pengeluaran Konsumsi Pemerintah</t>
  </si>
  <si>
    <t>12. Industri Barang Logam, Komputer, Elektronik, Optik, &amp; Kelistrikan</t>
  </si>
  <si>
    <t>13. Industri Mesin dan Perlengkapan</t>
  </si>
  <si>
    <t>14. Industri Alat Angkutan</t>
  </si>
  <si>
    <t>15. Industri Furnitur</t>
  </si>
  <si>
    <t>4. Pembentukan Modal Tetap Bruto</t>
  </si>
  <si>
    <t>16. Industri Pengolahan Lainnya; Jasa Reparasi &amp; Pemasangan</t>
  </si>
  <si>
    <t>1. Ketenagalistrikan</t>
  </si>
  <si>
    <t>2. Pengadaan Gas dan Produksi Es</t>
  </si>
  <si>
    <t>5. Ekspor Barang dan Jasa</t>
  </si>
  <si>
    <t>E. Pengadaan Air, Pengelolaan Sampah, Limbah &amp; Daur Ulang</t>
  </si>
  <si>
    <t>G. Perdagangan Besar &amp; Eceran; Reparasi Mobil &amp; Motor</t>
  </si>
  <si>
    <t>6. Dikurangi Impor Barang dan Jasa</t>
  </si>
  <si>
    <t>1. Perdagangan Mobil, Sepeda Motor dan Reparasinya</t>
  </si>
  <si>
    <t>2. Perdagangan Besar &amp; Eceran, Bukan Mobil dan Sepeda Motor</t>
  </si>
  <si>
    <t>1. Angkutan Rel</t>
  </si>
  <si>
    <t>2. Angkutan Darat</t>
  </si>
  <si>
    <t>3. Angkutan Laut</t>
  </si>
  <si>
    <t>4. Angkutan Sungai Danau dan Penyeberangan</t>
  </si>
  <si>
    <t>5. Angkutan Udara</t>
  </si>
  <si>
    <t>6. Pergudangan &amp; Jasa Penunjang Angkutan; Pos dan Kurir</t>
  </si>
  <si>
    <t>1. Penyediaan Akomodasi</t>
  </si>
  <si>
    <t>2. Penyediaan Makan Minum</t>
  </si>
  <si>
    <t>1. Jasa Perantara Keuangan</t>
  </si>
  <si>
    <t>2. Asuransi dan Dana Pensiun</t>
  </si>
  <si>
    <t>3. Jasa Keuangan Lainnya</t>
  </si>
  <si>
    <t>4. Jasa Penunjang Keuangan</t>
  </si>
  <si>
    <t>O. Administrasi Pemerintahan, Pertahanan &amp; Jaminan Sosial Wajib</t>
  </si>
  <si>
    <t>PDRB Non Migas</t>
  </si>
  <si>
    <t>12. Industri Logam, Komputer, Elektronik, Optik, &amp; Kelistrikan</t>
  </si>
  <si>
    <t>Kabupaten_Kota</t>
  </si>
  <si>
    <t>Kode</t>
  </si>
  <si>
    <t>Lapangan_Usaha</t>
  </si>
  <si>
    <t>Kabupaten Karimun</t>
  </si>
  <si>
    <t>A</t>
  </si>
  <si>
    <t>Pertanian, Kehutanan, dan Perikanan</t>
  </si>
  <si>
    <t>B</t>
  </si>
  <si>
    <t>Pertambangan dan Penggalian</t>
  </si>
  <si>
    <t>C</t>
  </si>
  <si>
    <t>Industri Pengolahan</t>
  </si>
  <si>
    <t>D</t>
  </si>
  <si>
    <t>Pengadaan Listrik dan Gas</t>
  </si>
  <si>
    <t>E</t>
  </si>
  <si>
    <t>Pengadaan Air, Pengelolaan Sampah, Limbah dan Daur Ulang</t>
  </si>
  <si>
    <t>F</t>
  </si>
  <si>
    <t>Konstruksi</t>
  </si>
  <si>
    <t>G</t>
  </si>
  <si>
    <t>Perdagangan Besar dan Eceran dan Reparasi Mobil dan Sepeda Motor</t>
  </si>
  <si>
    <t>H</t>
  </si>
  <si>
    <t>Transportasi dan Pergudangan</t>
  </si>
  <si>
    <t>I</t>
  </si>
  <si>
    <t>Penyediaan Akomodasi dan Makan Minum</t>
  </si>
  <si>
    <t>J</t>
  </si>
  <si>
    <t>Informasi dan Komunikasi</t>
  </si>
  <si>
    <t>K</t>
  </si>
  <si>
    <t>Jasa Keuangan dan Asuransi</t>
  </si>
  <si>
    <t>L</t>
  </si>
  <si>
    <t>Real Estat</t>
  </si>
  <si>
    <t>M,N</t>
  </si>
  <si>
    <t>Jasa Perusahaan</t>
  </si>
  <si>
    <t>O</t>
  </si>
  <si>
    <t>Administrasi Pemerintahan, Pertahanan dan Jaminan Sosial Wajib</t>
  </si>
  <si>
    <t>P</t>
  </si>
  <si>
    <t>Jasa Pendidikan</t>
  </si>
  <si>
    <t>Q</t>
  </si>
  <si>
    <t>Jasa Kesehatan dan Kegiatan Sosial</t>
  </si>
  <si>
    <t>R,S,T,U</t>
  </si>
  <si>
    <t>Jasa Lainnya</t>
  </si>
  <si>
    <t>Kabupaten Bintan</t>
  </si>
  <si>
    <t>Kabupaten Natuna</t>
  </si>
  <si>
    <t>Kabupaten Lingga</t>
  </si>
  <si>
    <t>05. [Seri 2010] PDRB Atas Dasar Harga Konstan Menurut Lapangan Usaha (Milyar Rupiah)</t>
  </si>
  <si>
    <t>5322,1</t>
  </si>
  <si>
    <t>5601,9</t>
  </si>
  <si>
    <t>5687,6</t>
  </si>
  <si>
    <t>5720,2</t>
  </si>
  <si>
    <t>Kabupaten Kepulauan Anambas</t>
  </si>
  <si>
    <t>5919,9</t>
  </si>
  <si>
    <t>2174,3</t>
  </si>
  <si>
    <t>2205,9</t>
  </si>
  <si>
    <t>2075,6</t>
  </si>
  <si>
    <t>2084,9</t>
  </si>
  <si>
    <t>9,4</t>
  </si>
  <si>
    <t>9,9</t>
  </si>
  <si>
    <t>9,8</t>
  </si>
  <si>
    <t>10,4</t>
  </si>
  <si>
    <t>254,4</t>
  </si>
  <si>
    <t>248,5</t>
  </si>
  <si>
    <t>266,8</t>
  </si>
  <si>
    <t>252,2</t>
  </si>
  <si>
    <t>252,5</t>
  </si>
  <si>
    <t>c. Perkebunan</t>
  </si>
  <si>
    <t>1067,9</t>
  </si>
  <si>
    <t>1063,8</t>
  </si>
  <si>
    <t>991,1</t>
  </si>
  <si>
    <t>1045,5</t>
  </si>
  <si>
    <t>1040,2</t>
  </si>
  <si>
    <t>807,2</t>
  </si>
  <si>
    <t>848,2</t>
  </si>
  <si>
    <t>773,7</t>
  </si>
  <si>
    <t>703,9</t>
  </si>
  <si>
    <t>748,5</t>
  </si>
  <si>
    <t>35,4</t>
  </si>
  <si>
    <t>34,2</t>
  </si>
  <si>
    <t>32,9</t>
  </si>
  <si>
    <t>33,8</t>
  </si>
  <si>
    <t>18,9</t>
  </si>
  <si>
    <t>16,9</t>
  </si>
  <si>
    <t>16,1</t>
  </si>
  <si>
    <t>17,5</t>
  </si>
  <si>
    <t>3128,8</t>
  </si>
  <si>
    <t>3595,2</t>
  </si>
  <si>
    <t>3659,1</t>
  </si>
  <si>
    <t>3817,4</t>
  </si>
  <si>
    <t>24748,82</t>
  </si>
  <si>
    <t>23015,61</t>
  </si>
  <si>
    <t>22406,26</t>
  </si>
  <si>
    <t>20650,99</t>
  </si>
  <si>
    <t>23956,26</t>
  </si>
  <si>
    <t>1. Pertambangan Minyak dan Gas Bumi</t>
  </si>
  <si>
    <t>21528,05</t>
  </si>
  <si>
    <t>19979,89</t>
  </si>
  <si>
    <t>19311,21</t>
  </si>
  <si>
    <t>21256,1</t>
  </si>
  <si>
    <t>2123,35</t>
  </si>
  <si>
    <t>2082,07</t>
  </si>
  <si>
    <t>2141,61</t>
  </si>
  <si>
    <t>1791,47</t>
  </si>
  <si>
    <t>1796,1</t>
  </si>
  <si>
    <t>1097,42</t>
  </si>
  <si>
    <t>953,65</t>
  </si>
  <si>
    <t>953,44</t>
  </si>
  <si>
    <t>889,52</t>
  </si>
  <si>
    <t>904,06</t>
  </si>
  <si>
    <t>75925,35</t>
  </si>
  <si>
    <t>79348,16</t>
  </si>
  <si>
    <t>81302,96</t>
  </si>
  <si>
    <t>87616,69</t>
  </si>
  <si>
    <t>94202,86</t>
  </si>
  <si>
    <t>1539,71</t>
  </si>
  <si>
    <t>1558,06</t>
  </si>
  <si>
    <t>1546,81</t>
  </si>
  <si>
    <t>1511,94</t>
  </si>
  <si>
    <t>3. Pengolahan Tembakau</t>
  </si>
  <si>
    <t>281,68</t>
  </si>
  <si>
    <t>280,72</t>
  </si>
  <si>
    <t>300,27</t>
  </si>
  <si>
    <t>351,31</t>
  </si>
  <si>
    <t>369,2</t>
  </si>
  <si>
    <t>Kota Batam</t>
  </si>
  <si>
    <t>1685,08</t>
  </si>
  <si>
    <t>1468,87</t>
  </si>
  <si>
    <t>1374,98</t>
  </si>
  <si>
    <t>1064,49</t>
  </si>
  <si>
    <t>1156,06</t>
  </si>
  <si>
    <t>78,84</t>
  </si>
  <si>
    <t>75,15</t>
  </si>
  <si>
    <t>72,01</t>
  </si>
  <si>
    <t>72,1</t>
  </si>
  <si>
    <t>72,73</t>
  </si>
  <si>
    <t>6. Industri Kayu, Barang dari Kayu dan Gabus dan Barang Anyaman dari Bambu, Rotan dan Sejenisnya</t>
  </si>
  <si>
    <t>507,85</t>
  </si>
  <si>
    <t>486,05</t>
  </si>
  <si>
    <t>469,78</t>
  </si>
  <si>
    <t>516,93</t>
  </si>
  <si>
    <t>550,86</t>
  </si>
  <si>
    <t>7. Industri Kertas dan Barang dari Kertas, Percetakan dan Reproduksi Media Rekaman</t>
  </si>
  <si>
    <t>280,45</t>
  </si>
  <si>
    <t>251,53</t>
  </si>
  <si>
    <t>263,26</t>
  </si>
  <si>
    <t>304,93</t>
  </si>
  <si>
    <t>309,98</t>
  </si>
  <si>
    <t>8. Industri Kimia, Farmasi dan Obat Tradisional</t>
  </si>
  <si>
    <t>359,01</t>
  </si>
  <si>
    <t>317,15</t>
  </si>
  <si>
    <t>317,11</t>
  </si>
  <si>
    <t>349,28</t>
  </si>
  <si>
    <t>351,34</t>
  </si>
  <si>
    <t>1687,01</t>
  </si>
  <si>
    <t>1778,87</t>
  </si>
  <si>
    <t>1783,24</t>
  </si>
  <si>
    <t>2128,7</t>
  </si>
  <si>
    <t>2113,19</t>
  </si>
  <si>
    <t>10. Industri Barang Galian bukan Logam</t>
  </si>
  <si>
    <t>138,46</t>
  </si>
  <si>
    <t>139,55</t>
  </si>
  <si>
    <t>139,6</t>
  </si>
  <si>
    <t>147,6</t>
  </si>
  <si>
    <t>160,12</t>
  </si>
  <si>
    <t>5806,11</t>
  </si>
  <si>
    <t>6077,19</t>
  </si>
  <si>
    <t>6501,46</t>
  </si>
  <si>
    <t>8246,68</t>
  </si>
  <si>
    <t>8646,88</t>
  </si>
  <si>
    <t>12. Industri Barang dari Logam, Komputer, Barang Elektronik, Optik dan Peralatan Listrik</t>
  </si>
  <si>
    <t>48329,95</t>
  </si>
  <si>
    <t>50871,78</t>
  </si>
  <si>
    <t>51531,71</t>
  </si>
  <si>
    <t>56064,43</t>
  </si>
  <si>
    <t>61091,64</t>
  </si>
  <si>
    <t>13. Industri Mesin dan Perlengkapan YTDL</t>
  </si>
  <si>
    <t>4538,41</t>
  </si>
  <si>
    <t>5043,8</t>
  </si>
  <si>
    <t>4805,06</t>
  </si>
  <si>
    <t>4687,94</t>
  </si>
  <si>
    <t>5017,54</t>
  </si>
  <si>
    <t>5340,92</t>
  </si>
  <si>
    <t>5577,62</t>
  </si>
  <si>
    <t>6783,52</t>
  </si>
  <si>
    <t>6583,34</t>
  </si>
  <si>
    <t>6906,27</t>
  </si>
  <si>
    <t>1904,36</t>
  </si>
  <si>
    <t>1904,14</t>
  </si>
  <si>
    <t>1862,32</t>
  </si>
  <si>
    <t>1879,11</t>
  </si>
  <si>
    <t>1996,54</t>
  </si>
  <si>
    <t>16. Industri pengolahan lainnya, jasa reparasi dan pemasangan mesin dan peralatan</t>
  </si>
  <si>
    <t>3447,5</t>
  </si>
  <si>
    <t>3517,67</t>
  </si>
  <si>
    <t>3551,84</t>
  </si>
  <si>
    <t>3707,9</t>
  </si>
  <si>
    <t>3921,49</t>
  </si>
  <si>
    <t>Pengadaan Listrik, Gas</t>
  </si>
  <si>
    <t>1648,93</t>
  </si>
  <si>
    <t>1919,01</t>
  </si>
  <si>
    <t>2073,12</t>
  </si>
  <si>
    <t>2222,43</t>
  </si>
  <si>
    <t>2452,86</t>
  </si>
  <si>
    <t>415,5</t>
  </si>
  <si>
    <t>476,62</t>
  </si>
  <si>
    <t>514,93</t>
  </si>
  <si>
    <t>572,48</t>
  </si>
  <si>
    <t>660,3</t>
  </si>
  <si>
    <t>2. Gas</t>
  </si>
  <si>
    <t>1233,43</t>
  </si>
  <si>
    <t>1442,38</t>
  </si>
  <si>
    <t>1558,19</t>
  </si>
  <si>
    <t>1649,95</t>
  </si>
  <si>
    <t>1792,56</t>
  </si>
  <si>
    <t>Pengadaan Air</t>
  </si>
  <si>
    <t>218,68</t>
  </si>
  <si>
    <t>237,96</t>
  </si>
  <si>
    <t>248,56</t>
  </si>
  <si>
    <t>253,49</t>
  </si>
  <si>
    <t>283,14</t>
  </si>
  <si>
    <t>33256,03</t>
  </si>
  <si>
    <t>34917,26</t>
  </si>
  <si>
    <t>38580,25</t>
  </si>
  <si>
    <t>40799,5</t>
  </si>
  <si>
    <t>42962,22</t>
  </si>
  <si>
    <t>Perdagangan Besar dan Eceran, dan Reparasi Mobil dan Sepeda Motor</t>
  </si>
  <si>
    <t>13592,98</t>
  </si>
  <si>
    <t>15477,62</t>
  </si>
  <si>
    <t>Kota Tanjungpinang</t>
  </si>
  <si>
    <t>16385,52</t>
  </si>
  <si>
    <t>17301,86</t>
  </si>
  <si>
    <t>18607,41</t>
  </si>
  <si>
    <t>3734,12</t>
  </si>
  <si>
    <t>4116,52</t>
  </si>
  <si>
    <t>4133,06</t>
  </si>
  <si>
    <t>4288,32</t>
  </si>
  <si>
    <t>4084,33</t>
  </si>
  <si>
    <t>2. Perdagangan Besar dan Eceran</t>
  </si>
  <si>
    <t>9858,85</t>
  </si>
  <si>
    <t>11361,1</t>
  </si>
  <si>
    <t>12252,46</t>
  </si>
  <si>
    <t>13013,55</t>
  </si>
  <si>
    <t>14523,07</t>
  </si>
  <si>
    <t>2514,94</t>
  </si>
  <si>
    <t>3479,88</t>
  </si>
  <si>
    <t>3999,01</t>
  </si>
  <si>
    <t>4099,38</t>
  </si>
  <si>
    <t>4393,91</t>
  </si>
  <si>
    <t>408,6</t>
  </si>
  <si>
    <t>753,62</t>
  </si>
  <si>
    <t>776,63</t>
  </si>
  <si>
    <t>806,26</t>
  </si>
  <si>
    <t>975,55</t>
  </si>
  <si>
    <t>1360,16</t>
  </si>
  <si>
    <t>1637,5</t>
  </si>
  <si>
    <t>1636,04</t>
  </si>
  <si>
    <t>1857,88</t>
  </si>
  <si>
    <t>8,02</t>
  </si>
  <si>
    <t>8,72</t>
  </si>
  <si>
    <t>8,92</t>
  </si>
  <si>
    <t>8,83</t>
  </si>
  <si>
    <t>8,26</t>
  </si>
  <si>
    <t>916,19</t>
  </si>
  <si>
    <t>1263,5</t>
  </si>
  <si>
    <t>1338,71</t>
  </si>
  <si>
    <t>1412,27</t>
  </si>
  <si>
    <t>1429,72</t>
  </si>
  <si>
    <t>6. Pergudangan dan Jasa Penunjang Angkutan, Pos dan Kurir</t>
  </si>
  <si>
    <t>206,56</t>
  </si>
  <si>
    <t>238,5</t>
  </si>
  <si>
    <t>260,26</t>
  </si>
  <si>
    <t>265,6</t>
  </si>
  <si>
    <t>291,8</t>
  </si>
  <si>
    <t>2357,95</t>
  </si>
  <si>
    <t>3530,11</t>
  </si>
  <si>
    <t>4494,33</t>
  </si>
  <si>
    <t>4683,68</t>
  </si>
  <si>
    <t>4818,29</t>
  </si>
  <si>
    <t>1207,25</t>
  </si>
  <si>
    <t>1858,3</t>
  </si>
  <si>
    <t>2549,33</t>
  </si>
  <si>
    <t>2617,39</t>
  </si>
  <si>
    <t>2611,79</t>
  </si>
  <si>
    <t>1150,69</t>
  </si>
  <si>
    <t>1671,81</t>
  </si>
  <si>
    <t>2066,29</t>
  </si>
  <si>
    <t>2206,5</t>
  </si>
  <si>
    <t>5909,45</t>
  </si>
  <si>
    <t>6421,12</t>
  </si>
  <si>
    <t>7702,88</t>
  </si>
  <si>
    <t>7698,4</t>
  </si>
  <si>
    <t>7494,68</t>
  </si>
  <si>
    <t>Jasa Keuangan</t>
  </si>
  <si>
    <t>4833,25</t>
  </si>
  <si>
    <t>5035,02</t>
  </si>
  <si>
    <t>5470,38</t>
  </si>
  <si>
    <t>5875,9</t>
  </si>
  <si>
    <t>6117,41</t>
  </si>
  <si>
    <t>1. Bank</t>
  </si>
  <si>
    <t>2560,45</t>
  </si>
  <si>
    <t>2673,18</t>
  </si>
  <si>
    <t>3017,6</t>
  </si>
  <si>
    <t>3335,98</t>
  </si>
  <si>
    <t>3497,98</t>
  </si>
  <si>
    <t>2224,22</t>
  </si>
  <si>
    <t>2310,14</t>
  </si>
  <si>
    <t>2395,65</t>
  </si>
  <si>
    <t>2479,47</t>
  </si>
  <si>
    <t>2554,41</t>
  </si>
  <si>
    <t>31,42</t>
  </si>
  <si>
    <t>33,26</t>
  </si>
  <si>
    <t>35,56</t>
  </si>
  <si>
    <t>38,03</t>
  </si>
  <si>
    <t>40,39</t>
  </si>
  <si>
    <t>17,16</t>
  </si>
  <si>
    <t>18,43</t>
  </si>
  <si>
    <t>21,56</t>
  </si>
  <si>
    <t>22,41</t>
  </si>
  <si>
    <t>24,63</t>
  </si>
  <si>
    <t>Real Estate</t>
  </si>
  <si>
    <t>2247,92</t>
  </si>
  <si>
    <t>2352,27</t>
  </si>
  <si>
    <t>2475,66</t>
  </si>
  <si>
    <t>2614,14</t>
  </si>
  <si>
    <t>2763,51</t>
  </si>
  <si>
    <t>5,74</t>
  </si>
  <si>
    <t>6,61</t>
  </si>
  <si>
    <t>7,82</t>
  </si>
  <si>
    <t>8,21</t>
  </si>
  <si>
    <t>9,59</t>
  </si>
  <si>
    <t>4028,29</t>
  </si>
  <si>
    <t>4163,45</t>
  </si>
  <si>
    <t>4376,99</t>
  </si>
  <si>
    <t>5158,77</t>
  </si>
  <si>
    <t>5083,69</t>
  </si>
  <si>
    <t>2183,17</t>
  </si>
  <si>
    <t>2255,62</t>
  </si>
  <si>
    <t>2342,98</t>
  </si>
  <si>
    <t>2435,31</t>
  </si>
  <si>
    <t>2568,83</t>
  </si>
  <si>
    <t>1886,04</t>
  </si>
  <si>
    <t>1885,75</t>
  </si>
  <si>
    <t>1794,92</t>
  </si>
  <si>
    <t>2146,71</t>
  </si>
  <si>
    <t>2203,96</t>
  </si>
  <si>
    <t>Jasa lainnya</t>
  </si>
  <si>
    <t>272,86</t>
  </si>
  <si>
    <t>463,78</t>
  </si>
  <si>
    <t>563,56</t>
  </si>
  <si>
    <t>653,43</t>
  </si>
  <si>
    <t>666,25</t>
  </si>
  <si>
    <t>PDRB</t>
  </si>
  <si>
    <t>180952,4</t>
  </si>
  <si>
    <t>190111,1</t>
  </si>
  <si>
    <t>199912,8</t>
  </si>
  <si>
    <t>209939,1</t>
  </si>
  <si>
    <t>224504,7</t>
  </si>
  <si>
    <t>PDRB TANPA MIGAS</t>
  </si>
  <si>
    <t>159424,4</t>
  </si>
  <si>
    <t>170131,2</t>
  </si>
  <si>
    <t>180601,6</t>
  </si>
  <si>
    <t>191969,1</t>
  </si>
  <si>
    <t>203248,6</t>
  </si>
  <si>
    <t>Catatan</t>
  </si>
  <si>
    <t>N: Tahun Terakhir Data</t>
  </si>
  <si>
    <t>Data Tahun ke N : Angka Sangat Sementara</t>
  </si>
  <si>
    <t>Data Tahun ke N-1 : Angka Sementara</t>
  </si>
  <si>
    <t>02. [Seri 2010] PDRB Atas Dasar Harga Berlaku Menurut Lapangan Usaha (Milyar Rupiah)</t>
  </si>
  <si>
    <t>8461,8</t>
  </si>
  <si>
    <t>9371,3</t>
  </si>
  <si>
    <t>9898,7</t>
  </si>
  <si>
    <t>10355,5</t>
  </si>
  <si>
    <t>11388,1</t>
  </si>
  <si>
    <t>3669,1</t>
  </si>
  <si>
    <t>3990,3</t>
  </si>
  <si>
    <t>3971,4</t>
  </si>
  <si>
    <t>4276,3</t>
  </si>
  <si>
    <t>4774,4</t>
  </si>
  <si>
    <t>18,2</t>
  </si>
  <si>
    <t>19,9</t>
  </si>
  <si>
    <t>20,3</t>
  </si>
  <si>
    <t>22,4</t>
  </si>
  <si>
    <t>21,2</t>
  </si>
  <si>
    <t>420,9</t>
  </si>
  <si>
    <t>466,6</t>
  </si>
  <si>
    <t>459,2</t>
  </si>
  <si>
    <t>486,3</t>
  </si>
  <si>
    <t>1962,9</t>
  </si>
  <si>
    <t>2126,4</t>
  </si>
  <si>
    <t>2102,9</t>
  </si>
  <si>
    <t>2528,4</t>
  </si>
  <si>
    <t>2904,9</t>
  </si>
  <si>
    <t>1227,7</t>
  </si>
  <si>
    <t>1371,8</t>
  </si>
  <si>
    <t>1330,1</t>
  </si>
  <si>
    <t>1215,1</t>
  </si>
  <si>
    <t>1308,6</t>
  </si>
  <si>
    <t>48,3</t>
  </si>
  <si>
    <t>51,3</t>
  </si>
  <si>
    <t>51,5</t>
  </si>
  <si>
    <t>51,2</t>
  </si>
  <si>
    <t>53,3</t>
  </si>
  <si>
    <t>28,3</t>
  </si>
  <si>
    <t>28,1</t>
  </si>
  <si>
    <t>27,3</t>
  </si>
  <si>
    <t>26,3</t>
  </si>
  <si>
    <t>28,8</t>
  </si>
  <si>
    <t>4764,4</t>
  </si>
  <si>
    <t>34696,1</t>
  </si>
  <si>
    <t>38839,3</t>
  </si>
  <si>
    <t>37035,1</t>
  </si>
  <si>
    <t>34242,4</t>
  </si>
  <si>
    <t>38396,7</t>
  </si>
  <si>
    <t>29756,6</t>
  </si>
  <si>
    <t>33346,2</t>
  </si>
  <si>
    <t>30722,4</t>
  </si>
  <si>
    <t>28549,6</t>
  </si>
  <si>
    <t>32593,4</t>
  </si>
  <si>
    <t>3433,2</t>
  </si>
  <si>
    <t>4116,3</t>
  </si>
  <si>
    <t>4881,5</t>
  </si>
  <si>
    <t>4374,7</t>
  </si>
  <si>
    <t>4445,2</t>
  </si>
  <si>
    <t>1506,3</t>
  </si>
  <si>
    <t>1376,9</t>
  </si>
  <si>
    <t>1431,2</t>
  </si>
  <si>
    <t>1318,1</t>
  </si>
  <si>
    <t>1358,1</t>
  </si>
  <si>
    <t>115852,5</t>
  </si>
  <si>
    <t>125989,7</t>
  </si>
  <si>
    <t>132924,9</t>
  </si>
  <si>
    <t>158685,9</t>
  </si>
  <si>
    <t>2344,4</t>
  </si>
  <si>
    <t>Kabupaten/Kota</t>
  </si>
  <si>
    <t>2499,8</t>
  </si>
  <si>
    <t>2558,2</t>
  </si>
  <si>
    <t>2582,4</t>
  </si>
  <si>
    <t>2719,1</t>
  </si>
  <si>
    <t>32. [Seri 2010] PDRB Perkapita Kabupaten/Kota Atas Dasar Harga Konstan (Ribu Rupiah)</t>
  </si>
  <si>
    <t>544,2</t>
  </si>
  <si>
    <t>583,8</t>
  </si>
  <si>
    <t>669,2</t>
  </si>
  <si>
    <t>837,7</t>
  </si>
  <si>
    <t>913,9</t>
  </si>
  <si>
    <t>2543,1</t>
  </si>
  <si>
    <t>2289,6</t>
  </si>
  <si>
    <t>2182,9</t>
  </si>
  <si>
    <t>1894,8</t>
  </si>
  <si>
    <t>Karimun</t>
  </si>
  <si>
    <t>36604,56</t>
  </si>
  <si>
    <t>37788,84</t>
  </si>
  <si>
    <t>39438,43</t>
  </si>
  <si>
    <t>112,3</t>
  </si>
  <si>
    <t>41544,84</t>
  </si>
  <si>
    <t>109,1</t>
  </si>
  <si>
    <t>Bintan</t>
  </si>
  <si>
    <t>106,8</t>
  </si>
  <si>
    <t>86445,7</t>
  </si>
  <si>
    <t>108,7</t>
  </si>
  <si>
    <t>91714,97</t>
  </si>
  <si>
    <t>97951,37</t>
  </si>
  <si>
    <t>105200,6</t>
  </si>
  <si>
    <t>Natuna</t>
  </si>
  <si>
    <t>777,5</t>
  </si>
  <si>
    <t>177996,8</t>
  </si>
  <si>
    <t>750,4</t>
  </si>
  <si>
    <t>175737,3</t>
  </si>
  <si>
    <t>174867,6</t>
  </si>
  <si>
    <t>739,3</t>
  </si>
  <si>
    <t>166448,4</t>
  </si>
  <si>
    <t>822,1</t>
  </si>
  <si>
    <t>915,7</t>
  </si>
  <si>
    <t>Lingga</t>
  </si>
  <si>
    <t>30010,47</t>
  </si>
  <si>
    <t>30817,72</t>
  </si>
  <si>
    <t>31827,34</t>
  </si>
  <si>
    <t>32913,86</t>
  </si>
  <si>
    <t>470,5</t>
  </si>
  <si>
    <t>Kepulauan Anambas</t>
  </si>
  <si>
    <t>425,2</t>
  </si>
  <si>
    <t>232516,7</t>
  </si>
  <si>
    <t>229506,9</t>
  </si>
  <si>
    <t>464,2</t>
  </si>
  <si>
    <t>227878,9</t>
  </si>
  <si>
    <t>547,7</t>
  </si>
  <si>
    <t>212218,1</t>
  </si>
  <si>
    <t>557,3</t>
  </si>
  <si>
    <t>Batam</t>
  </si>
  <si>
    <t>91404,62</t>
  </si>
  <si>
    <t>96006,44</t>
  </si>
  <si>
    <t>101078,8</t>
  </si>
  <si>
    <t>106123,1</t>
  </si>
  <si>
    <t>585,5</t>
  </si>
  <si>
    <t>548,6</t>
  </si>
  <si>
    <t>Tanjungpinang</t>
  </si>
  <si>
    <t>565,8</t>
  </si>
  <si>
    <t>61079,33</t>
  </si>
  <si>
    <t>628,7</t>
  </si>
  <si>
    <t>62865,57</t>
  </si>
  <si>
    <t>646,5</t>
  </si>
  <si>
    <t>65218,46</t>
  </si>
  <si>
    <t>66944,45</t>
  </si>
  <si>
    <t>2528,6</t>
  </si>
  <si>
    <t>2717,6</t>
  </si>
  <si>
    <t>2747,5</t>
  </si>
  <si>
    <t>3375,4</t>
  </si>
  <si>
    <t>3447,2</t>
  </si>
  <si>
    <t>228,5</t>
  </si>
  <si>
    <t>222,7</t>
  </si>
  <si>
    <t>244,8</t>
  </si>
  <si>
    <t>272,2</t>
  </si>
  <si>
    <t>7002,3</t>
  </si>
  <si>
    <t>8379,8</t>
  </si>
  <si>
    <t>9472,1</t>
  </si>
  <si>
    <t>12197,7</t>
  </si>
  <si>
    <t>13337,6</t>
  </si>
  <si>
    <t>75887,7</t>
  </si>
  <si>
    <t>82744,8</t>
  </si>
  <si>
    <t>86411,5</t>
  </si>
  <si>
    <t>94582,8</t>
  </si>
  <si>
    <t>104840,7</t>
  </si>
  <si>
    <t>7407,9</t>
  </si>
  <si>
    <t>8311,1</t>
  </si>
  <si>
    <t>7945,3</t>
  </si>
  <si>
    <t>8581,8</t>
  </si>
  <si>
    <t>7341,3</t>
  </si>
  <si>
    <t>8083,5</t>
  </si>
  <si>
    <t>10224,9</t>
  </si>
  <si>
    <t>10083,2</t>
  </si>
  <si>
    <t>2817,5</t>
  </si>
  <si>
    <t>2860,1</t>
  </si>
  <si>
    <t>2987,2</t>
  </si>
  <si>
    <t>3243,5</t>
  </si>
  <si>
    <t>5261,1</t>
  </si>
  <si>
    <t>5463,6</t>
  </si>
  <si>
    <t>5625,4</t>
  </si>
  <si>
    <t>5964,2</t>
  </si>
  <si>
    <t>6535,1</t>
  </si>
  <si>
    <t>2733,3</t>
  </si>
  <si>
    <t>3263,3</t>
  </si>
  <si>
    <t>3557,1</t>
  </si>
  <si>
    <t>3865,2</t>
  </si>
  <si>
    <t>4356,6</t>
  </si>
  <si>
    <t>429,4</t>
  </si>
  <si>
    <t>502,3</t>
  </si>
  <si>
    <t>566,2</t>
  </si>
  <si>
    <t>679,3</t>
  </si>
  <si>
    <t>817,3</t>
  </si>
  <si>
    <t>2303,9</t>
  </si>
  <si>
    <t>2990,9</t>
  </si>
  <si>
    <t>3185,9</t>
  </si>
  <si>
    <t>3539,2</t>
  </si>
  <si>
    <t>279,6</t>
  </si>
  <si>
    <t>306,2</t>
  </si>
  <si>
    <t>322,4</t>
  </si>
  <si>
    <t>343,5</t>
  </si>
  <si>
    <t>388,9</t>
  </si>
  <si>
    <t>53159,2</t>
  </si>
  <si>
    <t>59057,2</t>
  </si>
  <si>
    <t>66985,1</t>
  </si>
  <si>
    <t>71355,8</t>
  </si>
  <si>
    <t>75858,3</t>
  </si>
  <si>
    <t>22474,9</t>
  </si>
  <si>
    <t>27343,4</t>
  </si>
  <si>
    <t>32602,6</t>
  </si>
  <si>
    <t>35965,8</t>
  </si>
  <si>
    <t>5675,8</t>
  </si>
  <si>
    <t>6588,9</t>
  </si>
  <si>
    <t>7062,5</t>
  </si>
  <si>
    <t>6860,5</t>
  </si>
  <si>
    <t>16799,1</t>
  </si>
  <si>
    <t>20949,4</t>
  </si>
  <si>
    <t>23577,1</t>
  </si>
  <si>
    <t>25540,2</t>
  </si>
  <si>
    <t>29105,3</t>
  </si>
  <si>
    <t>3826,6</t>
  </si>
  <si>
    <t>5887,7</t>
  </si>
  <si>
    <t>6768,9</t>
  </si>
  <si>
    <t>7207,3</t>
  </si>
  <si>
    <t>7722,6</t>
  </si>
  <si>
    <t>568,5</t>
  </si>
  <si>
    <t>862,5</t>
  </si>
  <si>
    <t>1117,3</t>
  </si>
  <si>
    <t>1181,7</t>
  </si>
  <si>
    <t>1242,4</t>
  </si>
  <si>
    <t>1434,3</t>
  </si>
  <si>
    <t>2043,5</t>
  </si>
  <si>
    <t>2604,8</t>
  </si>
  <si>
    <t>2671,7</t>
  </si>
  <si>
    <t>3095,1</t>
  </si>
  <si>
    <t>11,5</t>
  </si>
  <si>
    <t>12,6</t>
  </si>
  <si>
    <t>13,5</t>
  </si>
  <si>
    <t>13,7</t>
  </si>
  <si>
    <t>12,9</t>
  </si>
  <si>
    <t>1482,6</t>
  </si>
  <si>
    <t>2565,8</t>
  </si>
  <si>
    <t>2548,1</t>
  </si>
  <si>
    <t>2845,9</t>
  </si>
  <si>
    <t>2825,6</t>
  </si>
  <si>
    <t>329,7</t>
  </si>
  <si>
    <t>403,3</t>
  </si>
  <si>
    <t>485,1</t>
  </si>
  <si>
    <t>494,3</t>
  </si>
  <si>
    <t>546,6</t>
  </si>
  <si>
    <t>3167,6</t>
  </si>
  <si>
    <t>4874,9</t>
  </si>
  <si>
    <t>6301,9</t>
  </si>
  <si>
    <t>6681,4</t>
  </si>
  <si>
    <t>1608,3</t>
  </si>
  <si>
    <t>2541,6</t>
  </si>
  <si>
    <t>3547,5</t>
  </si>
  <si>
    <t>3691,5</t>
  </si>
  <si>
    <t>3736,8</t>
  </si>
  <si>
    <t>1559,3</t>
  </si>
  <si>
    <t>2333,3</t>
  </si>
  <si>
    <t>2754,4</t>
  </si>
  <si>
    <t>2989,9</t>
  </si>
  <si>
    <t>3243,2</t>
  </si>
  <si>
    <t>7078,1</t>
  </si>
  <si>
    <t>7719,9</t>
  </si>
  <si>
    <t>9334,2</t>
  </si>
  <si>
    <t>9388,8</t>
  </si>
  <si>
    <t>9113,7</t>
  </si>
  <si>
    <t>7191,8</t>
  </si>
  <si>
    <t>7906,3</t>
  </si>
  <si>
    <t>8823,3</t>
  </si>
  <si>
    <t>9644,3</t>
  </si>
  <si>
    <t>10228,5</t>
  </si>
  <si>
    <t>4083,9</t>
  </si>
  <si>
    <t>4690,1</t>
  </si>
  <si>
    <t>5384,4</t>
  </si>
  <si>
    <t>6004,9</t>
  </si>
  <si>
    <t>6439,4</t>
  </si>
  <si>
    <t>3037,1</t>
  </si>
  <si>
    <t>3143,3</t>
  </si>
  <si>
    <t>3356,9</t>
  </si>
  <si>
    <t>3551,1</t>
  </si>
  <si>
    <t>3692,5</t>
  </si>
  <si>
    <t>45,6</t>
  </si>
  <si>
    <t>46,5</t>
  </si>
  <si>
    <t>50,4</t>
  </si>
  <si>
    <t>54,7</t>
  </si>
  <si>
    <t>25,1</t>
  </si>
  <si>
    <t>31,7</t>
  </si>
  <si>
    <t>33,7</t>
  </si>
  <si>
    <t>37,6</t>
  </si>
  <si>
    <t>3116,6</t>
  </si>
  <si>
    <t>3353,5</t>
  </si>
  <si>
    <t>3882,7</t>
  </si>
  <si>
    <t>4159,7</t>
  </si>
  <si>
    <t>6,6</t>
  </si>
  <si>
    <t>8,8</t>
  </si>
  <si>
    <t>11,1</t>
  </si>
  <si>
    <t>14,2</t>
  </si>
  <si>
    <t>7202,8</t>
  </si>
  <si>
    <t>7886,5</t>
  </si>
  <si>
    <t>9223,4</t>
  </si>
  <si>
    <t>8873,9</t>
  </si>
  <si>
    <t>3878,5</t>
  </si>
  <si>
    <t>4182,9</t>
  </si>
  <si>
    <t>4416,3</t>
  </si>
  <si>
    <t>4702,6</t>
  </si>
  <si>
    <t>5092,4</t>
  </si>
  <si>
    <t>2571,8</t>
  </si>
  <si>
    <t>2646,3</t>
  </si>
  <si>
    <t>2578,7</t>
  </si>
  <si>
    <t>3124,1</t>
  </si>
  <si>
    <t>3273,1</t>
  </si>
  <si>
    <t>786,5</t>
  </si>
  <si>
    <t>994,4</t>
  </si>
  <si>
    <t>1175,9</t>
  </si>
  <si>
    <t>1231,6</t>
  </si>
  <si>
    <t>275622,9</t>
  </si>
  <si>
    <t>308739,7</t>
  </si>
  <si>
    <t>331644,5</t>
  </si>
  <si>
    <t>352436,4</t>
  </si>
  <si>
    <t>381729,9</t>
  </si>
  <si>
    <t>245866,2</t>
  </si>
  <si>
    <t>275393,6</t>
  </si>
  <si>
    <t>300922,2</t>
  </si>
  <si>
    <t>323886,8</t>
  </si>
  <si>
    <t>349136,5</t>
  </si>
  <si>
    <t>Wilayah Kabupaten/Kota</t>
  </si>
  <si>
    <t>25. [Seri 2010] PDRB Perkapita Kabupaten/Kota Atas Dasar Harga Berlaku (Ribu Rupiah)</t>
  </si>
  <si>
    <t>55677,87</t>
  </si>
  <si>
    <t>60336,22</t>
  </si>
  <si>
    <t>65299,46</t>
  </si>
  <si>
    <t>69608,19</t>
  </si>
  <si>
    <t>131845,5</t>
  </si>
  <si>
    <t>149876,9</t>
  </si>
  <si>
    <t>165561,2</t>
  </si>
  <si>
    <t>180544,2</t>
  </si>
  <si>
    <t>253651,1</t>
  </si>
  <si>
    <t>290847,8</t>
  </si>
  <si>
    <t>278007,9</t>
  </si>
  <si>
    <t>264903,3</t>
  </si>
  <si>
    <t>45439,39</t>
  </si>
  <si>
    <t>48510,09</t>
  </si>
  <si>
    <t>51964,43</t>
  </si>
  <si>
    <t>54936,26</t>
  </si>
  <si>
    <t>349503,4</t>
  </si>
  <si>
    <t>410971,2</t>
  </si>
  <si>
    <t>391951,6</t>
  </si>
  <si>
    <t>362072,1</t>
  </si>
  <si>
    <t>142242,6</t>
  </si>
  <si>
    <t>157632,9</t>
  </si>
  <si>
    <t>171968,3</t>
  </si>
  <si>
    <t>182506,6</t>
  </si>
  <si>
    <t>87563,33</t>
  </si>
  <si>
    <t>93850,95</t>
  </si>
  <si>
    <t>100210,2</t>
  </si>
  <si>
    <t>Laju Pertumbuhan q to q 2021–2026 (%)</t>
  </si>
  <si>
    <t>Q1</t>
  </si>
  <si>
    <t>Q2</t>
  </si>
  <si>
    <t>Q3</t>
  </si>
  <si>
    <t>Q4</t>
  </si>
  <si>
    <t>-1,12</t>
  </si>
  <si>
    <t>0,01</t>
  </si>
  <si>
    <t>-0,39</t>
  </si>
  <si>
    <t>6,87</t>
  </si>
  <si>
    <t>-3,41</t>
  </si>
  <si>
    <t>2,09</t>
  </si>
  <si>
    <t>0,58</t>
  </si>
  <si>
    <t>7,24</t>
  </si>
  <si>
    <t>-3,34</t>
  </si>
  <si>
    <t>0,71</t>
  </si>
  <si>
    <t>0,42</t>
  </si>
  <si>
    <t>6,80</t>
  </si>
  <si>
    <t>-2,79</t>
  </si>
  <si>
    <t>0,61</t>
  </si>
  <si>
    <t>0,53</t>
  </si>
  <si>
    <t>6,94</t>
  </si>
  <si>
    <t>-2,78</t>
  </si>
  <si>
    <t>2,51</t>
  </si>
  <si>
    <t>0,85</t>
  </si>
  <si>
    <t>7,35</t>
  </si>
  <si>
    <t>-3,54</t>
  </si>
  <si>
    <t>Laju Pertumbuhan y on y 2021–2026 (%)</t>
  </si>
  <si>
    <t>-1,19</t>
  </si>
  <si>
    <t>6,90</t>
  </si>
  <si>
    <t>2,97</t>
  </si>
  <si>
    <t>5,27</t>
  </si>
  <si>
    <t>2,83</t>
  </si>
  <si>
    <t>4,97</t>
  </si>
  <si>
    <t>5,99</t>
  </si>
  <si>
    <t>6,36</t>
  </si>
  <si>
    <t>6,44</t>
  </si>
  <si>
    <t>5,01</t>
  </si>
  <si>
    <t>4,84</t>
  </si>
  <si>
    <t>4,41</t>
  </si>
  <si>
    <t>5,00</t>
  </si>
  <si>
    <t>4,90</t>
  </si>
  <si>
    <t>5,14</t>
  </si>
  <si>
    <t>5,16</t>
  </si>
  <si>
    <t>7,14</t>
  </si>
  <si>
    <t>7,48</t>
  </si>
  <si>
    <t>7,89</t>
  </si>
  <si>
    <t>7,04</t>
  </si>
  <si>
    <t>Nilai Ekspor LN, ADHB (X) (miliar Rp)</t>
  </si>
  <si>
    <t>238.160,04</t>
  </si>
  <si>
    <t>299.323,00</t>
  </si>
  <si>
    <t>308.884,07</t>
  </si>
  <si>
    <t>338.661,01</t>
  </si>
  <si>
    <t>421.812,05</t>
  </si>
  <si>
    <t>Nilai Impor LN, ADHB (M) (miliar Rp)</t>
  </si>
  <si>
    <t>212.601,04</t>
  </si>
  <si>
    <t>260.220,32</t>
  </si>
  <si>
    <t>281.078,51</t>
  </si>
  <si>
    <t>281.759,87</t>
  </si>
  <si>
    <t>372.387,15</t>
  </si>
  <si>
    <t>(X – M) (miliar Rp)</t>
  </si>
  <si>
    <t>25.559,00</t>
  </si>
  <si>
    <t>39.102,68</t>
  </si>
  <si>
    <t>27.805,56</t>
  </si>
  <si>
    <t>56.901,15</t>
  </si>
  <si>
    <t>49.424,90</t>
  </si>
  <si>
    <t>(X + M) (miliar Rp)</t>
  </si>
  <si>
    <t>450.761,08</t>
  </si>
  <si>
    <t>559.543,32</t>
  </si>
  <si>
    <t>589.962,58</t>
  </si>
  <si>
    <t>620.420,88</t>
  </si>
  <si>
    <t>794.199,20</t>
  </si>
  <si>
    <t>RPI</t>
  </si>
  <si>
    <t>0,06</t>
  </si>
  <si>
    <t>0,07</t>
  </si>
  <si>
    <t>0,05</t>
  </si>
  <si>
    <t>0,09</t>
  </si>
  <si>
    <t>Catatan: * Angka Sementara</t>
  </si>
  <si>
    <t>** Angka Sangat Sementara</t>
  </si>
  <si>
    <t>Sumber: BPS Provinsi Kepulauan Riau, diolah.</t>
  </si>
  <si>
    <r>
      <rPr>
        <sz val="10"/>
        <color theme="1"/>
        <rFont val="Arial"/>
        <family val="2"/>
      </rPr>
      <t xml:space="preserve">Pada periode 2021–2025, posisi ekspor lebih tinggi dari impor. Nilai ekspor pada periode 2021 sebesar 238.160,04 miliar rupiah. Terus meningkat hingga di tahun 2025 sebesar 421.812,05 miliar rupiah. Sama halnya untuk impor luar negeri, polanya juga meningkat selama tahun 2021-2025. Impor luar negeri pada tahun 2021 sebesar 212.601,04 miliar rupiah terus meningkat hingga di tahun 2025 sebesar 372.387,15 miliar rupiah. Rasio Perdagangan Internasional Provinsi Kepulauan Riau pada tahun 2021–2025 mengindikasi bahwa </t>
    </r>
    <r>
      <rPr>
        <b/>
        <sz val="10"/>
        <color theme="1"/>
        <rFont val="Arial"/>
        <family val="2"/>
      </rPr>
      <t>perdagangan internasionalnya selalu didominasi oleh kegiatan ekspor</t>
    </r>
    <r>
      <rPr>
        <sz val="10"/>
        <color theme="1"/>
        <rFont val="Arial"/>
        <family val="2"/>
      </rPr>
      <t>. Hal ini ditunjukkan oleh Rasio Perdagangan Internasional yang menunjukkan tanda positif, meskipun dengan rasio yang cukup kecil yaitu antara 0,05 hingga 0,09.</t>
    </r>
  </si>
  <si>
    <t>PDRB (ADHK 2010)(miliar Rp)</t>
  </si>
  <si>
    <t>180.952,44</t>
  </si>
  <si>
    <t>190.111,09</t>
  </si>
  <si>
    <t>199.912,83</t>
  </si>
  <si>
    <t>209.939,07</t>
  </si>
  <si>
    <t>224.504,72</t>
  </si>
  <si>
    <t>Perubahan (miliar Rp)</t>
  </si>
  <si>
    <t>5.993,24</t>
  </si>
  <si>
    <t>9.158,64</t>
  </si>
  <si>
    <t>9.801,74</t>
  </si>
  <si>
    <t>10.026,25</t>
  </si>
  <si>
    <t>14.565,65</t>
  </si>
  <si>
    <t>PMTB (ADHK 2010) (miliar Rp)</t>
  </si>
  <si>
    <t>72.042,69</t>
  </si>
  <si>
    <t>74.944,81</t>
  </si>
  <si>
    <t>81.476,94</t>
  </si>
  <si>
    <t>86.579,47</t>
  </si>
  <si>
    <t>92.478,32</t>
  </si>
  <si>
    <t>12,02</t>
  </si>
  <si>
    <t>8,18</t>
  </si>
  <si>
    <t>8,31</t>
  </si>
  <si>
    <t>8,64</t>
  </si>
  <si>
    <t>6,35</t>
  </si>
  <si>
    <t>Lapangan</t>
  </si>
  <si>
    <t>Sumber : BPS Provinsi Kepulauan Riau, diolah.</t>
  </si>
  <si>
    <t>Catatan:</t>
  </si>
  <si>
    <t>* Angka Sementara</t>
  </si>
  <si>
    <t>Interpretasi :</t>
  </si>
  <si>
    <t>Berdasarkan tabel perhitungan Incremental Capital-Output Ratio (ICOR), efisiensi investasi di Provinsi Kepulauan Riau menunjukkan tren perbaikan yang sangat positif dan konsisten dari tahun ke tahun. Nilai ICOR yang sempat tinggi pada tahun 2021 sebesar 12,02 menunjukkan bahwa efisiensi penggunaan modal pada masa awal pemulihan masih relatif rendah. Namun, seiring berjalannya waktu dan meningkatnya produktivitas Pembentukan Modal Tetap Bruto (PMTB) yang mencapai Rp92,47 triliun pada tahun 2025, angka ICOR berangsur-angsur turun dan menyusut hingga mencapai 6,35. Penurunan ini membuktikan bahwa investasi atau modal fisik yang ditanamkan di Kepri menjadi semakin produktif dan efektif dalam mendongkrak pertumbuhan tambahan output PDRB secara riil.</t>
  </si>
  <si>
    <t xml:space="preserve">ILOR </t>
  </si>
  <si>
    <t>ETK</t>
  </si>
  <si>
    <t>Jumlah Penduduk Bekerja (TK)</t>
  </si>
  <si>
    <t>PDRB ADHK (∆Y)</t>
  </si>
  <si>
    <t>PDRB/Y</t>
  </si>
  <si>
    <t>% perubahan TK</t>
  </si>
  <si>
    <t>% perubahan PDRB</t>
  </si>
  <si>
    <t>Interpretasi</t>
  </si>
  <si>
    <t xml:space="preserve">Interpretasi </t>
  </si>
  <si>
    <t>Berdasarkan tabel Incremental Labour-Output Ratio (ILOR), kinerja penyerapan tenaga kerja terhadap tambahan output ekonomi di Kepri mengalami fluktuasi yang cukup tajam selama periode 2021 hingga 2025. Pada tahun 2021, 2022, dan 2024, nilai ILOR tercatat bernilai negatif (masing-masing -4,15; -6,99; dan -1,97) yang mengindikasikan terjadinya fenomena jobless growth, di mana PDRB bertambah namun jumlah penduduk bekerja justru mengalami pengurangan akibat dominasi sektor padat modal. Sebaliknya, pada tahun 2023 dan 2025, nilai ILOR kembali positif masing-masing sebesar 5,00 dan 0,90, yang menandakan bahwa ekspansi output ekonomi pada tahun-tahun tersebut berhasil kembali menggerakkan penyerapan tenaga kerja baru di pasar labor.</t>
  </si>
  <si>
    <t>Berdasarkan tabel Elastisitas Tenaga Kerja TK, tingkat kepekaan penyerapan tenaga kerja terhadap pertumbuhan ekonomi di Kepri memperlihatkan dinamika hubungan searah maupun anomali struktural. Selama tahun 2021, 2022, dan 2024, nilai elastisitas bernilai negatif (seperti -0,68; -1,22; dan -0,38) karena persentase perubahan jumlah tenaga kerja menyusut di tengah pertumbuhan PDRB yang positif. Namun, pada tahun 2023 dan 2025, nilai elastisitas bergerak menjadi positif masing-masing sebesar 1,00 dan 0,19, di mana pertumbuhan ekonomi yang tinggi (mencapai 6,94% pada 2025) direspons dengan ekspansi positif pada penyerapan tenaga kerja, meskipun berada di bawah angka 1 yang mencerminkan karakteristik industri modern yang efisien dan padat teknologi.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</si>
</sst>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30">
    <font>
      <sz val="10"/>
      <color rgb="FF000000"/>
      <name val="Arial"/>
      <scheme val="minor"/>
    </font>
    <font>
      <sz val="11"/>
      <color rgb="FF000000"/>
      <name val="Calibri"/>
      <family val="2"/>
    </font>
    <font>
      <b/>
      <sz val="10"/>
      <color theme="1"/>
      <name val="Arial"/>
      <family val="2"/>
      <scheme val="minor"/>
    </font>
    <font>
      <b/>
      <sz val="12"/>
      <color rgb="FF980000"/>
      <name val="Calibri"/>
      <family val="2"/>
    </font>
    <font>
      <b/>
      <sz val="11"/>
      <color theme="1"/>
      <name val="Arial"/>
      <family val="2"/>
    </font>
    <font>
      <b/>
      <sz val="11"/>
      <color rgb="FF000000"/>
      <name val="Arial"/>
      <family val="2"/>
    </font>
    <font>
      <b/>
      <sz val="11"/>
      <color rgb="FFFF0000"/>
      <name val="Arial"/>
      <family val="2"/>
    </font>
    <font>
      <sz val="11"/>
      <color rgb="FF000000"/>
      <name val="Arial"/>
      <family val="2"/>
    </font>
    <font>
      <sz val="10"/>
      <color theme="1"/>
      <name val="Arial"/>
      <family val="2"/>
      <scheme val="minor"/>
    </font>
    <font>
      <sz val="12"/>
      <color rgb="FF000000"/>
      <name val="Calibri"/>
      <family val="2"/>
    </font>
    <font>
      <sz val="10"/>
      <name val="Arial"/>
      <family val="2"/>
    </font>
    <font>
      <sz val="11"/>
      <color rgb="FFFF0000"/>
      <name val="Arial"/>
      <family val="2"/>
    </font>
    <font>
      <sz val="11"/>
      <color theme="1"/>
      <name val="Arial"/>
      <family val="2"/>
      <scheme val="minor"/>
    </font>
    <font>
      <sz val="10"/>
      <color rgb="FF000000"/>
      <name val="Arial"/>
      <family val="2"/>
    </font>
    <font>
      <sz val="11"/>
      <color rgb="FF000000"/>
      <name val="&quot;Aptos Narrow&quot;"/>
    </font>
    <font>
      <sz val="11"/>
      <color rgb="FF000000"/>
      <name val="Arial"/>
      <family val="2"/>
      <scheme val="minor"/>
    </font>
    <font>
      <sz val="11"/>
      <color rgb="FFFF0000"/>
      <name val="Calibri"/>
      <family val="2"/>
    </font>
    <font>
      <i/>
      <sz val="9"/>
      <color theme="1"/>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sz val="10"/>
      <color rgb="FF1F1F1F"/>
      <name val="&quot;Google Sans Text&quot;"/>
    </font>
    <font>
      <b/>
      <sz val="10"/>
      <color rgb="FF1F1F1F"/>
      <name val="&quot;Google Sans Text&quot;"/>
    </font>
    <font>
      <i/>
      <sz val="10"/>
      <color theme="1"/>
      <name val="Arial"/>
      <family val="2"/>
      <scheme val="minor"/>
    </font>
    <font>
      <b/>
      <sz val="11"/>
      <color rgb="FF000000"/>
      <name val="Calibri"/>
      <family val="2"/>
    </font>
    <font>
      <sz val="11"/>
      <color theme="1"/>
      <name val="&quot;Google Sans Text&quot;"/>
    </font>
    <font>
      <sz val="10"/>
      <color theme="1"/>
      <name val="Arial"/>
      <family val="2"/>
    </font>
    <font>
      <b/>
      <sz val="10"/>
      <color theme="1"/>
      <name val="Arial"/>
      <family val="2"/>
    </font>
    <font>
      <u/>
      <sz val="10"/>
      <color rgb="FF1155CC"/>
      <name val="Arial"/>
      <family val="2"/>
    </font>
  </fonts>
  <fills count="8">
    <fill>
      <patternFill patternType="none"/>
    </fill>
    <fill>
      <patternFill patternType="gray125"/>
    </fill>
    <fill>
      <patternFill patternType="solid">
        <fgColor rgb="FFFFD966"/>
        <bgColor rgb="FFFFD966"/>
      </patternFill>
    </fill>
    <fill>
      <patternFill patternType="solid">
        <fgColor rgb="FF4A86E8"/>
        <bgColor rgb="FF4A86E8"/>
      </patternFill>
    </fill>
    <fill>
      <patternFill patternType="solid">
        <fgColor rgb="FFD9E1F2"/>
        <bgColor rgb="FFD9E1F2"/>
      </patternFill>
    </fill>
    <fill>
      <patternFill patternType="solid">
        <fgColor rgb="FFFFFFFF"/>
        <bgColor rgb="FFFFFFFF"/>
      </patternFill>
    </fill>
    <fill>
      <patternFill patternType="solid">
        <fgColor rgb="FFCCCCCC"/>
        <bgColor rgb="FFCCCCCC"/>
      </patternFill>
    </fill>
    <fill>
      <patternFill patternType="solid">
        <fgColor rgb="FFB7B7B7"/>
        <bgColor rgb="FFB7B7B7"/>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78">
    <xf numFmtId="0" fontId="0" fillId="0" borderId="0" xfId="0"/>
    <xf numFmtId="0" fontId="1" fillId="0" borderId="0" xfId="0" applyFont="1"/>
    <xf numFmtId="0" fontId="2" fillId="2" borderId="1" xfId="0" applyFont="1" applyFill="1" applyBorder="1" applyAlignment="1">
      <alignment horizontal="center" vertical="center"/>
    </xf>
    <xf numFmtId="0" fontId="3" fillId="0" borderId="0" xfId="0" applyFont="1"/>
    <xf numFmtId="0" fontId="4" fillId="0" borderId="0" xfId="0" applyFont="1"/>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3" fontId="4" fillId="0" borderId="0" xfId="0" applyNumberFormat="1" applyFont="1"/>
    <xf numFmtId="0" fontId="2" fillId="2" borderId="0" xfId="0" applyFont="1" applyFill="1" applyAlignment="1">
      <alignment horizontal="center" vertical="center"/>
    </xf>
    <xf numFmtId="0" fontId="7" fillId="0" borderId="0" xfId="0" applyFont="1"/>
    <xf numFmtId="0" fontId="8" fillId="0" borderId="0" xfId="0" applyFont="1"/>
    <xf numFmtId="0" fontId="2" fillId="0" borderId="0" xfId="0" applyFont="1" applyAlignment="1">
      <alignment horizontal="center" vertical="center"/>
    </xf>
    <xf numFmtId="0" fontId="9" fillId="0" borderId="0" xfId="0" applyFont="1" applyAlignment="1">
      <alignment horizontal="right"/>
    </xf>
    <xf numFmtId="0" fontId="8" fillId="0" borderId="0" xfId="0" applyFont="1" applyAlignment="1">
      <alignment vertical="center"/>
    </xf>
    <xf numFmtId="164" fontId="8" fillId="0" borderId="0" xfId="0" applyNumberFormat="1" applyFont="1"/>
    <xf numFmtId="0" fontId="7" fillId="0" borderId="0" xfId="0" applyFont="1" applyAlignment="1">
      <alignment horizontal="right"/>
    </xf>
    <xf numFmtId="0" fontId="11" fillId="0" borderId="0" xfId="0" applyFont="1" applyAlignment="1">
      <alignment horizontal="right"/>
    </xf>
    <xf numFmtId="0" fontId="8" fillId="0" borderId="1" xfId="0" applyFont="1" applyBorder="1" applyAlignment="1">
      <alignment vertical="center"/>
    </xf>
    <xf numFmtId="3" fontId="7" fillId="0" borderId="0" xfId="0" applyNumberFormat="1" applyFont="1"/>
    <xf numFmtId="4" fontId="12" fillId="0" borderId="0" xfId="0" applyNumberFormat="1" applyFont="1"/>
    <xf numFmtId="4" fontId="7" fillId="0" borderId="0" xfId="0" applyNumberFormat="1" applyFont="1" applyAlignment="1">
      <alignment horizontal="right"/>
    </xf>
    <xf numFmtId="3" fontId="7" fillId="0" borderId="0" xfId="0" applyNumberFormat="1" applyFont="1" applyAlignment="1">
      <alignment horizontal="right"/>
    </xf>
    <xf numFmtId="3" fontId="13" fillId="0" borderId="0" xfId="0" applyNumberFormat="1" applyFont="1"/>
    <xf numFmtId="3" fontId="11" fillId="0" borderId="0" xfId="0" applyNumberFormat="1" applyFont="1" applyAlignment="1">
      <alignment horizontal="right"/>
    </xf>
    <xf numFmtId="0" fontId="8" fillId="0" borderId="1" xfId="0" applyFont="1" applyBorder="1" applyAlignment="1">
      <alignment wrapText="1"/>
    </xf>
    <xf numFmtId="164" fontId="7" fillId="0" borderId="0" xfId="0" applyNumberFormat="1" applyFont="1" applyAlignment="1">
      <alignment horizontal="right"/>
    </xf>
    <xf numFmtId="0" fontId="8" fillId="0" borderId="1" xfId="0" applyFont="1" applyBorder="1"/>
    <xf numFmtId="0" fontId="8" fillId="0" borderId="1" xfId="0" applyFont="1" applyBorder="1" applyAlignment="1">
      <alignment vertical="center" wrapText="1"/>
    </xf>
    <xf numFmtId="164" fontId="11" fillId="0" borderId="0" xfId="0" applyNumberFormat="1" applyFont="1" applyAlignment="1">
      <alignment horizontal="right"/>
    </xf>
    <xf numFmtId="164" fontId="1" fillId="0" borderId="0" xfId="0" applyNumberFormat="1" applyFont="1"/>
    <xf numFmtId="0" fontId="15" fillId="0" borderId="0" xfId="0" applyFont="1"/>
    <xf numFmtId="0" fontId="16" fillId="0" borderId="0" xfId="0" applyFont="1"/>
    <xf numFmtId="0" fontId="17" fillId="0" borderId="0" xfId="0" applyFont="1"/>
    <xf numFmtId="0" fontId="18" fillId="0" borderId="1" xfId="0" applyFont="1" applyBorder="1" applyAlignment="1">
      <alignment vertical="center" wrapText="1"/>
    </xf>
    <xf numFmtId="10" fontId="8" fillId="0" borderId="0" xfId="0" applyNumberFormat="1" applyFont="1"/>
    <xf numFmtId="0" fontId="19" fillId="0" borderId="0" xfId="0" applyFont="1" applyAlignment="1">
      <alignment wrapText="1"/>
    </xf>
    <xf numFmtId="0" fontId="14" fillId="0" borderId="0" xfId="0" applyFont="1"/>
    <xf numFmtId="0" fontId="20" fillId="0" borderId="1" xfId="0" applyFont="1" applyBorder="1" applyAlignment="1">
      <alignment vertical="center"/>
    </xf>
    <xf numFmtId="0" fontId="21" fillId="0" borderId="1" xfId="0" applyFont="1" applyBorder="1" applyAlignment="1">
      <alignment wrapText="1"/>
    </xf>
    <xf numFmtId="0" fontId="22" fillId="0" borderId="0" xfId="0" applyFont="1"/>
    <xf numFmtId="0" fontId="23" fillId="0" borderId="0" xfId="0" applyFont="1"/>
    <xf numFmtId="0" fontId="14" fillId="0" borderId="0" xfId="0" applyFont="1" applyAlignment="1">
      <alignment horizontal="right"/>
    </xf>
    <xf numFmtId="0" fontId="9" fillId="0" borderId="0" xfId="0" applyFont="1"/>
    <xf numFmtId="0" fontId="2" fillId="0" borderId="1" xfId="0" applyFont="1" applyBorder="1" applyAlignment="1">
      <alignment horizontal="center"/>
    </xf>
    <xf numFmtId="0" fontId="2" fillId="0" borderId="1" xfId="0" applyFont="1" applyBorder="1" applyAlignment="1">
      <alignment horizontal="right"/>
    </xf>
    <xf numFmtId="0" fontId="8" fillId="0" borderId="1" xfId="0" applyFont="1" applyBorder="1" applyAlignment="1">
      <alignment horizontal="right"/>
    </xf>
    <xf numFmtId="0" fontId="24" fillId="0" borderId="0" xfId="0" applyFont="1"/>
    <xf numFmtId="0" fontId="25" fillId="0" borderId="1" xfId="0" applyFont="1" applyBorder="1" applyAlignment="1">
      <alignment horizontal="center"/>
    </xf>
    <xf numFmtId="0" fontId="8" fillId="0" borderId="1" xfId="0" applyFont="1" applyBorder="1" applyAlignment="1">
      <alignment horizontal="center"/>
    </xf>
    <xf numFmtId="0" fontId="1" fillId="0" borderId="1" xfId="0" applyFont="1" applyBorder="1" applyAlignment="1">
      <alignment horizontal="center"/>
    </xf>
    <xf numFmtId="0" fontId="1" fillId="0" borderId="0" xfId="0" applyFont="1" applyAlignment="1">
      <alignment horizontal="right"/>
    </xf>
    <xf numFmtId="0" fontId="2" fillId="0" borderId="0" xfId="0" applyFont="1"/>
    <xf numFmtId="0" fontId="1" fillId="6" borderId="1" xfId="0" applyFont="1" applyFill="1" applyBorder="1" applyAlignment="1">
      <alignment horizontal="center"/>
    </xf>
    <xf numFmtId="0" fontId="25" fillId="4" borderId="1" xfId="0" applyFont="1" applyFill="1" applyBorder="1" applyAlignment="1">
      <alignment horizontal="center"/>
    </xf>
    <xf numFmtId="0" fontId="1" fillId="5" borderId="1" xfId="0" applyFont="1" applyFill="1" applyBorder="1" applyAlignment="1">
      <alignment horizontal="center"/>
    </xf>
    <xf numFmtId="3" fontId="1" fillId="0" borderId="1" xfId="0" applyNumberFormat="1" applyFont="1" applyBorder="1" applyAlignment="1">
      <alignment horizontal="center"/>
    </xf>
    <xf numFmtId="3" fontId="25" fillId="4" borderId="1" xfId="0" applyNumberFormat="1" applyFont="1" applyFill="1" applyBorder="1" applyAlignment="1">
      <alignment horizontal="center"/>
    </xf>
    <xf numFmtId="3" fontId="1" fillId="5" borderId="1" xfId="0" applyNumberFormat="1" applyFont="1" applyFill="1" applyBorder="1" applyAlignment="1">
      <alignment horizontal="center"/>
    </xf>
    <xf numFmtId="0" fontId="8" fillId="0" borderId="0" xfId="0" applyFont="1" applyAlignment="1">
      <alignment vertical="center" wrapText="1"/>
    </xf>
    <xf numFmtId="0" fontId="0" fillId="0" borderId="0" xfId="0"/>
    <xf numFmtId="0" fontId="2" fillId="3" borderId="3" xfId="0" applyFont="1" applyFill="1" applyBorder="1" applyAlignment="1">
      <alignment horizontal="center" vertical="center"/>
    </xf>
    <xf numFmtId="0" fontId="10" fillId="0" borderId="4" xfId="0" applyFont="1" applyBorder="1"/>
    <xf numFmtId="0" fontId="10" fillId="0" borderId="5" xfId="0" applyFont="1" applyBorder="1"/>
    <xf numFmtId="0" fontId="8" fillId="0" borderId="3" xfId="0" applyFont="1" applyBorder="1"/>
    <xf numFmtId="0" fontId="8" fillId="0" borderId="2" xfId="0" applyFont="1" applyBorder="1"/>
    <xf numFmtId="0" fontId="10" fillId="0" borderId="6" xfId="0" applyFont="1" applyBorder="1"/>
    <xf numFmtId="0" fontId="9" fillId="0" borderId="0" xfId="0" applyFont="1"/>
    <xf numFmtId="0" fontId="2" fillId="0" borderId="0" xfId="0" applyFont="1" applyAlignment="1">
      <alignment horizontal="center"/>
    </xf>
    <xf numFmtId="0" fontId="1" fillId="0" borderId="0" xfId="0" applyFont="1"/>
    <xf numFmtId="0" fontId="8" fillId="0" borderId="0" xfId="0" applyFont="1" applyAlignment="1">
      <alignment horizontal="left" vertical="center" wrapText="1"/>
    </xf>
    <xf numFmtId="0" fontId="25" fillId="4" borderId="2" xfId="0" applyFont="1" applyFill="1" applyBorder="1" applyAlignment="1">
      <alignment horizontal="center" vertical="center" wrapText="1"/>
    </xf>
    <xf numFmtId="0" fontId="25" fillId="5" borderId="2" xfId="0" applyFont="1" applyFill="1" applyBorder="1" applyAlignment="1">
      <alignment horizontal="center" vertical="center" wrapText="1"/>
    </xf>
    <xf numFmtId="0" fontId="25" fillId="4" borderId="2" xfId="0" applyFont="1" applyFill="1" applyBorder="1" applyAlignment="1">
      <alignment horizontal="center" vertical="center"/>
    </xf>
    <xf numFmtId="0" fontId="25" fillId="5" borderId="2" xfId="0" applyFont="1" applyFill="1" applyBorder="1" applyAlignment="1">
      <alignment horizontal="center" vertical="center"/>
    </xf>
    <xf numFmtId="0" fontId="1" fillId="7" borderId="3" xfId="0" applyFont="1" applyFill="1" applyBorder="1" applyAlignment="1">
      <alignment horizontal="center"/>
    </xf>
    <xf numFmtId="0" fontId="12" fillId="0" borderId="0" xfId="0" applyFont="1" applyAlignment="1">
      <alignment vertical="center" wrapText="1"/>
    </xf>
    <xf numFmtId="0" fontId="26" fillId="0" borderId="0" xfId="0" applyFont="1" applyAlignment="1">
      <alignment vertical="center" wrapText="1"/>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Kebutuhan Data (SulTeng)-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ICOR</a:t>
            </a:r>
          </a:p>
        </c:rich>
      </c:tx>
      <c:layout>
        <c:manualLayout>
          <c:xMode val="edge"/>
          <c:yMode val="edge"/>
          <c:x val="0.39425000000000004"/>
          <c:y val="0.05"/>
        </c:manualLayout>
      </c:layout>
      <c:overlay val="0"/>
    </c:title>
    <c:autoTitleDeleted val="0"/>
    <c:plotArea>
      <c:layout/>
      <c:lineChart>
        <c:grouping val="standard"/>
        <c:varyColors val="0"/>
        <c:ser>
          <c:idx val="0"/>
          <c:order val="0"/>
          <c:tx>
            <c:strRef>
              <c:f>ICOR!$J$2</c:f>
              <c:strCache>
                <c:ptCount val="1"/>
                <c:pt idx="0">
                  <c:v>ICOR</c:v>
                </c:pt>
              </c:strCache>
            </c:strRef>
          </c:tx>
          <c:spPr>
            <a:ln cmpd="sng">
              <a:solidFill>
                <a:srgbClr val="4285F4"/>
              </a:solidFill>
            </a:ln>
          </c:spPr>
          <c:marker>
            <c:symbol val="none"/>
          </c:marker>
          <c:cat>
            <c:numRef>
              <c:f>ICOR!$I$3:$I$7</c:f>
              <c:numCache>
                <c:formatCode>General</c:formatCode>
                <c:ptCount val="5"/>
                <c:pt idx="0">
                  <c:v>2021</c:v>
                </c:pt>
                <c:pt idx="1">
                  <c:v>2022</c:v>
                </c:pt>
                <c:pt idx="2">
                  <c:v>2023</c:v>
                </c:pt>
                <c:pt idx="3">
                  <c:v>2024</c:v>
                </c:pt>
                <c:pt idx="4">
                  <c:v>2025</c:v>
                </c:pt>
              </c:numCache>
            </c:numRef>
          </c:cat>
          <c:val>
            <c:numRef>
              <c:f>ICOR!$J$3:$J$7</c:f>
              <c:numCache>
                <c:formatCode>General</c:formatCode>
                <c:ptCount val="5"/>
                <c:pt idx="0">
                  <c:v>12.02</c:v>
                </c:pt>
                <c:pt idx="1">
                  <c:v>8.19</c:v>
                </c:pt>
                <c:pt idx="2">
                  <c:v>8.31</c:v>
                </c:pt>
                <c:pt idx="3">
                  <c:v>8.64</c:v>
                </c:pt>
                <c:pt idx="4">
                  <c:v>6.35</c:v>
                </c:pt>
              </c:numCache>
            </c:numRef>
          </c:val>
          <c:smooth val="0"/>
          <c:extLst>
            <c:ext xmlns:c16="http://schemas.microsoft.com/office/drawing/2014/chart" uri="{C3380CC4-5D6E-409C-BE32-E72D297353CC}">
              <c16:uniqueId val="{00000000-0A63-45F6-BEDB-70DFC387B7B1}"/>
            </c:ext>
          </c:extLst>
        </c:ser>
        <c:dLbls>
          <c:showLegendKey val="0"/>
          <c:showVal val="0"/>
          <c:showCatName val="0"/>
          <c:showSerName val="0"/>
          <c:showPercent val="0"/>
          <c:showBubbleSize val="0"/>
        </c:dLbls>
        <c:smooth val="0"/>
        <c:axId val="289299177"/>
        <c:axId val="800256688"/>
      </c:lineChart>
      <c:catAx>
        <c:axId val="2892991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Tahun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800256688"/>
        <c:crosses val="autoZero"/>
        <c:auto val="1"/>
        <c:lblAlgn val="ctr"/>
        <c:lblOffset val="100"/>
        <c:noMultiLvlLbl val="1"/>
      </c:catAx>
      <c:valAx>
        <c:axId val="8002566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28929917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ILOR</a:t>
            </a:r>
          </a:p>
        </c:rich>
      </c:tx>
      <c:layout>
        <c:manualLayout>
          <c:xMode val="edge"/>
          <c:yMode val="edge"/>
          <c:x val="0.33911917098445599"/>
          <c:y val="4.5798319327731096E-2"/>
        </c:manualLayout>
      </c:layout>
      <c:overlay val="0"/>
    </c:title>
    <c:autoTitleDeleted val="0"/>
    <c:plotArea>
      <c:layout/>
      <c:lineChart>
        <c:grouping val="standard"/>
        <c:varyColors val="0"/>
        <c:ser>
          <c:idx val="0"/>
          <c:order val="0"/>
          <c:tx>
            <c:strRef>
              <c:f>'ILOR &amp; ETK'!$H$2</c:f>
              <c:strCache>
                <c:ptCount val="1"/>
                <c:pt idx="0">
                  <c:v>ILOR</c:v>
                </c:pt>
              </c:strCache>
            </c:strRef>
          </c:tx>
          <c:spPr>
            <a:ln cmpd="sng">
              <a:solidFill>
                <a:srgbClr val="4285F4"/>
              </a:solidFill>
            </a:ln>
          </c:spPr>
          <c:marker>
            <c:symbol val="none"/>
          </c:marker>
          <c:cat>
            <c:numRef>
              <c:f>'ILOR &amp; ETK'!$G$3:$G$8</c:f>
              <c:numCache>
                <c:formatCode>General</c:formatCode>
                <c:ptCount val="6"/>
                <c:pt idx="0">
                  <c:v>2020</c:v>
                </c:pt>
                <c:pt idx="1">
                  <c:v>2021</c:v>
                </c:pt>
                <c:pt idx="2">
                  <c:v>2022</c:v>
                </c:pt>
                <c:pt idx="3">
                  <c:v>2023</c:v>
                </c:pt>
                <c:pt idx="4">
                  <c:v>2024</c:v>
                </c:pt>
                <c:pt idx="5">
                  <c:v>2025</c:v>
                </c:pt>
              </c:numCache>
            </c:numRef>
          </c:cat>
          <c:val>
            <c:numRef>
              <c:f>'ILOR &amp; ETK'!$H$3:$H$8</c:f>
              <c:numCache>
                <c:formatCode>General</c:formatCode>
                <c:ptCount val="6"/>
                <c:pt idx="1">
                  <c:v>-4.1500000000000004</c:v>
                </c:pt>
                <c:pt idx="2">
                  <c:v>-6.99</c:v>
                </c:pt>
                <c:pt idx="3" formatCode="#,##0">
                  <c:v>5.0999999999999996</c:v>
                </c:pt>
                <c:pt idx="4">
                  <c:v>-1.97</c:v>
                </c:pt>
                <c:pt idx="5">
                  <c:v>0.9</c:v>
                </c:pt>
              </c:numCache>
            </c:numRef>
          </c:val>
          <c:smooth val="0"/>
          <c:extLst>
            <c:ext xmlns:c16="http://schemas.microsoft.com/office/drawing/2014/chart" uri="{C3380CC4-5D6E-409C-BE32-E72D297353CC}">
              <c16:uniqueId val="{00000000-D333-46DF-95BF-EA341B2C9689}"/>
            </c:ext>
          </c:extLst>
        </c:ser>
        <c:dLbls>
          <c:showLegendKey val="0"/>
          <c:showVal val="0"/>
          <c:showCatName val="0"/>
          <c:showSerName val="0"/>
          <c:showPercent val="0"/>
          <c:showBubbleSize val="0"/>
        </c:dLbls>
        <c:smooth val="0"/>
        <c:axId val="1418142144"/>
        <c:axId val="1262066106"/>
      </c:lineChart>
      <c:catAx>
        <c:axId val="14181421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Tahun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262066106"/>
        <c:crosses val="autoZero"/>
        <c:auto val="1"/>
        <c:lblAlgn val="ctr"/>
        <c:lblOffset val="100"/>
        <c:noMultiLvlLbl val="1"/>
      </c:catAx>
      <c:valAx>
        <c:axId val="12620661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41814214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ETK</a:t>
            </a:r>
          </a:p>
        </c:rich>
      </c:tx>
      <c:layout>
        <c:manualLayout>
          <c:xMode val="edge"/>
          <c:yMode val="edge"/>
          <c:x val="0.39267139479905439"/>
          <c:y val="4.2366412213740462E-2"/>
        </c:manualLayout>
      </c:layout>
      <c:overlay val="0"/>
    </c:title>
    <c:autoTitleDeleted val="0"/>
    <c:plotArea>
      <c:layout/>
      <c:lineChart>
        <c:grouping val="standard"/>
        <c:varyColors val="0"/>
        <c:ser>
          <c:idx val="0"/>
          <c:order val="0"/>
          <c:tx>
            <c:strRef>
              <c:f>'ILOR &amp; ETK'!$T$2</c:f>
              <c:strCache>
                <c:ptCount val="1"/>
                <c:pt idx="0">
                  <c:v>ETK</c:v>
                </c:pt>
              </c:strCache>
            </c:strRef>
          </c:tx>
          <c:spPr>
            <a:ln cmpd="sng">
              <a:solidFill>
                <a:srgbClr val="4285F4"/>
              </a:solidFill>
            </a:ln>
          </c:spPr>
          <c:marker>
            <c:symbol val="none"/>
          </c:marker>
          <c:cat>
            <c:numRef>
              <c:f>'ILOR &amp; ETK'!$S$3:$S$8</c:f>
              <c:numCache>
                <c:formatCode>General</c:formatCode>
                <c:ptCount val="6"/>
                <c:pt idx="0">
                  <c:v>2020</c:v>
                </c:pt>
                <c:pt idx="1">
                  <c:v>2021</c:v>
                </c:pt>
                <c:pt idx="2">
                  <c:v>2022</c:v>
                </c:pt>
                <c:pt idx="3">
                  <c:v>2023</c:v>
                </c:pt>
                <c:pt idx="4">
                  <c:v>2024</c:v>
                </c:pt>
                <c:pt idx="5">
                  <c:v>2025</c:v>
                </c:pt>
              </c:numCache>
            </c:numRef>
          </c:cat>
          <c:val>
            <c:numRef>
              <c:f>'ILOR &amp; ETK'!$T$3:$T$8</c:f>
              <c:numCache>
                <c:formatCode>General</c:formatCode>
                <c:ptCount val="6"/>
                <c:pt idx="1">
                  <c:v>-0.68</c:v>
                </c:pt>
                <c:pt idx="2">
                  <c:v>-1.22</c:v>
                </c:pt>
                <c:pt idx="3">
                  <c:v>1</c:v>
                </c:pt>
                <c:pt idx="4">
                  <c:v>-0.38</c:v>
                </c:pt>
                <c:pt idx="5">
                  <c:v>0.19</c:v>
                </c:pt>
              </c:numCache>
            </c:numRef>
          </c:val>
          <c:smooth val="0"/>
          <c:extLst>
            <c:ext xmlns:c16="http://schemas.microsoft.com/office/drawing/2014/chart" uri="{C3380CC4-5D6E-409C-BE32-E72D297353CC}">
              <c16:uniqueId val="{00000000-7782-4787-A584-9A45BD0D6CB6}"/>
            </c:ext>
          </c:extLst>
        </c:ser>
        <c:dLbls>
          <c:showLegendKey val="0"/>
          <c:showVal val="0"/>
          <c:showCatName val="0"/>
          <c:showSerName val="0"/>
          <c:showPercent val="0"/>
          <c:showBubbleSize val="0"/>
        </c:dLbls>
        <c:smooth val="0"/>
        <c:axId val="1378558005"/>
        <c:axId val="489073854"/>
      </c:lineChart>
      <c:catAx>
        <c:axId val="13785580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Tahun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489073854"/>
        <c:crosses val="autoZero"/>
        <c:auto val="1"/>
        <c:lblAlgn val="ctr"/>
        <c:lblOffset val="100"/>
        <c:noMultiLvlLbl val="1"/>
      </c:catAx>
      <c:valAx>
        <c:axId val="4890738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37855800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10</xdr:col>
      <xdr:colOff>676275</xdr:colOff>
      <xdr:row>0</xdr:row>
      <xdr:rowOff>0</xdr:rowOff>
    </xdr:from>
    <xdr:ext cx="4610100" cy="2343150"/>
    <xdr:pic>
      <xdr:nvPicPr>
        <xdr:cNvPr id="2" name="image2.png" title="Gambar">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561975</xdr:colOff>
      <xdr:row>0</xdr:row>
      <xdr:rowOff>0</xdr:rowOff>
    </xdr:from>
    <xdr:ext cx="3762375" cy="2343150"/>
    <xdr:pic>
      <xdr:nvPicPr>
        <xdr:cNvPr id="3" name="image1.png" title="Gambar">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114300</xdr:colOff>
      <xdr:row>10</xdr:row>
      <xdr:rowOff>9525</xdr:rowOff>
    </xdr:from>
    <xdr:ext cx="4648200" cy="2867025"/>
    <xdr:graphicFrame macro="">
      <xdr:nvGraphicFramePr>
        <xdr:cNvPr id="2" name="Chart 1" title="Chart">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38100</xdr:colOff>
      <xdr:row>9</xdr:row>
      <xdr:rowOff>28575</xdr:rowOff>
    </xdr:from>
    <xdr:ext cx="3819525" cy="2362200"/>
    <xdr:graphicFrame macro="">
      <xdr:nvGraphicFramePr>
        <xdr:cNvPr id="2" name="Chart 2" title="Chart">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17</xdr:col>
      <xdr:colOff>219075</xdr:colOff>
      <xdr:row>8</xdr:row>
      <xdr:rowOff>95250</xdr:rowOff>
    </xdr:from>
    <xdr:ext cx="4029075" cy="2495550"/>
    <xdr:graphicFrame macro="">
      <xdr:nvGraphicFramePr>
        <xdr:cNvPr id="3" name="Chart 3" title="Chart">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eb-api.bps.go.id/download.php?f=uBM7Fv+q5BevRcrr98fJh3YrY0pwaDdtbDdMKzhpRGhCajJ6bjNhR2F5SU9YVVM1eEE3YStCL2JyNEo4dVBtR3Z4VjNNbjNFTHhZd0hvYzJRM0JGQjJQSDlyQmpCU2IwbVg3N3Yyazg4ZFVjMUVwUVJ6RGVVUFhMMDZraWRhV1VTbnJxZmhSS3ZyNldRemRHd1hQalA5R3A0ZnQ2YU5Pd2dhalN3OFhuUnlTWDM2Y0dhR09vY2NsUlFFYzkwY0pOdjRXYWh1cmNGYVExVWwvUmgzaHBKNkRLMDg5WEoxR0MxQjJhT2VKZm84dzZwTkVLR1dYbEJTV3pYVFZHajVtMllGdnJhVm9Qdjk5ZzRqbVBFWjZzMFdyc1F2MHp4VmttSjdWSnUxQ0xHankrTFhYZ3pZWmJqYVNNMUlpdjZscWRaVkJTSFJPYXY1NUlwNmdG&amp;_gl=1*qm62rh*_ga*MTU3Mzc1Nzc3Mi4xNzM4MTY0NTI4*_ga_XXTTVXWHDB*czE3ODg2ODE2NjIkbzIzJGcxJHQxNzg4NjgxNzU2JGo1OCRsMCRoMA.." TargetMode="External"/><Relationship Id="rId2" Type="http://schemas.openxmlformats.org/officeDocument/2006/relationships/hyperlink" Target="https://web-api.bps.go.id/download.php?f=ZNNy4QTlvmjn+3wx+KfESHIyd3BLZklsZVIwSDdtT0JiNkhkc3MvbXZ1akhWWmpoS2lkSWVnKy9Jc0pSUXgxZ2VkS2hLRXowbmlyZzFlVzJDUlRGbENxTEtTSWlSTEM3Y3F6cWs1WjZ1WUxJR0M4MkZHWXg3WE5STUNlQVg2UXJSSTRxaU9nbDlueXRFc0RzMFBPZUhEdlFQOERjaE4rdVJWUXVEdG9hYVkyczhFNWduTGo3Q0U4UnFGYnNRZ1ZrNzkwbXBITGl0Tlp6N2FaKytzZm9mME9CeFVzd29SS0ZaMUNuSnBkUUlYWHZkRjR4aTc4UUFVVFJaRzQxVWVkTUsyRjlITVdCcXRzV0g3WHl6eGpmdGVSdWVaZHJUWTUwN2pFNzlBPT0=" TargetMode="External"/><Relationship Id="rId1" Type="http://schemas.openxmlformats.org/officeDocument/2006/relationships/hyperlink" Target="https://kepri.bps.go.id/id/pressrelease/2026/05/05/1671/pertumbuhan-ekonomi-provinsi-kepulauan-riau-triwulan-i-2026.html" TargetMode="External"/><Relationship Id="rId4" Type="http://schemas.openxmlformats.org/officeDocument/2006/relationships/hyperlink" Target="https://kepri.bps.go.id/id/publication/2026/04/13/a4078746c52063ed674fcd6b/produk-domestik-regional-bruto-provinsi-kepulauan-riau-menurut-pengeluaran-2021-2025.html"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27"/>
  <sheetViews>
    <sheetView tabSelected="1" workbookViewId="0"/>
  </sheetViews>
  <sheetFormatPr defaultColWidth="12.6640625" defaultRowHeight="15.75" customHeight="1"/>
  <cols>
    <col min="1" max="1" width="33.77734375" customWidth="1"/>
    <col min="9" max="10" width="14.44140625" customWidth="1"/>
    <col min="11" max="11" width="16.77734375" customWidth="1"/>
  </cols>
  <sheetData>
    <row r="1" spans="1:12" ht="15.75" customHeight="1">
      <c r="A1" s="1"/>
      <c r="D1" s="1"/>
      <c r="E1" s="1"/>
      <c r="F1" s="1"/>
      <c r="H1" s="3" t="s">
        <v>1</v>
      </c>
    </row>
    <row r="2" spans="1:12">
      <c r="A2" s="4" t="s">
        <v>2</v>
      </c>
      <c r="B2" s="5">
        <v>2019</v>
      </c>
      <c r="C2" s="5">
        <v>2020</v>
      </c>
      <c r="D2" s="5">
        <v>2021</v>
      </c>
      <c r="E2" s="5">
        <v>2022</v>
      </c>
      <c r="F2" s="5">
        <v>2023</v>
      </c>
      <c r="G2" s="6">
        <v>2024</v>
      </c>
      <c r="H2" s="7">
        <v>2025</v>
      </c>
      <c r="K2" s="8" t="s">
        <v>5</v>
      </c>
      <c r="L2" s="4" t="s">
        <v>7</v>
      </c>
    </row>
    <row r="3" spans="1:12" ht="15.75" customHeight="1">
      <c r="A3" s="10" t="s">
        <v>10</v>
      </c>
      <c r="B3" s="13">
        <v>267631.5</v>
      </c>
      <c r="C3" s="13">
        <v>254095.4</v>
      </c>
      <c r="D3" s="13">
        <v>275622.90000000002</v>
      </c>
      <c r="E3" s="13">
        <v>308739.7</v>
      </c>
      <c r="F3" s="13">
        <v>331644.5</v>
      </c>
      <c r="G3" s="13">
        <v>352436.4</v>
      </c>
      <c r="H3" s="13">
        <v>381729.9</v>
      </c>
      <c r="K3" s="11">
        <v>2019</v>
      </c>
      <c r="L3" s="15">
        <f>B6</f>
        <v>0.6834995133233569</v>
      </c>
    </row>
    <row r="4" spans="1:12">
      <c r="A4" s="10" t="s">
        <v>13</v>
      </c>
      <c r="B4" s="16">
        <v>1185.2</v>
      </c>
      <c r="C4" s="16">
        <v>1033.4000000000001</v>
      </c>
      <c r="D4" s="16">
        <v>1191.2</v>
      </c>
      <c r="E4" s="16">
        <v>1492.76</v>
      </c>
      <c r="F4" s="16">
        <v>1631.49</v>
      </c>
      <c r="G4" s="16">
        <v>1777.7</v>
      </c>
      <c r="H4" s="17">
        <v>1447.29</v>
      </c>
      <c r="I4" s="11" t="s">
        <v>14</v>
      </c>
      <c r="K4" s="11">
        <v>2020</v>
      </c>
      <c r="L4" s="15">
        <f>C6</f>
        <v>0.51013910523370354</v>
      </c>
    </row>
    <row r="5" spans="1:12" ht="15.75" customHeight="1">
      <c r="A5" s="19" t="s">
        <v>15</v>
      </c>
      <c r="B5" s="20">
        <v>644.05999999999995</v>
      </c>
      <c r="C5" s="21">
        <v>262.83999999999997</v>
      </c>
      <c r="D5" s="21">
        <v>233.56</v>
      </c>
      <c r="E5" s="21">
        <v>531.38</v>
      </c>
      <c r="F5" s="22">
        <v>403</v>
      </c>
      <c r="G5" s="23">
        <v>128.02000000000001</v>
      </c>
      <c r="H5" s="24">
        <v>341.26</v>
      </c>
      <c r="I5" s="11" t="s">
        <v>19</v>
      </c>
      <c r="K5" s="1">
        <v>2021</v>
      </c>
      <c r="L5" s="15">
        <f>D6</f>
        <v>0.51692366635718578</v>
      </c>
    </row>
    <row r="6" spans="1:12" ht="15.75" customHeight="1">
      <c r="A6" s="10" t="s">
        <v>26</v>
      </c>
      <c r="B6" s="26">
        <f t="shared" ref="B6:H6" si="0">(B4+B5)*100/B3</f>
        <v>0.6834995133233569</v>
      </c>
      <c r="C6" s="26">
        <f t="shared" si="0"/>
        <v>0.51013910523370354</v>
      </c>
      <c r="D6" s="26">
        <f t="shared" si="0"/>
        <v>0.51692366635718578</v>
      </c>
      <c r="E6" s="26">
        <f t="shared" si="0"/>
        <v>0.65561377432186396</v>
      </c>
      <c r="F6" s="26">
        <f t="shared" si="0"/>
        <v>0.61345507011272615</v>
      </c>
      <c r="G6" s="26">
        <f t="shared" si="0"/>
        <v>0.54072734825347213</v>
      </c>
      <c r="H6" s="29">
        <f t="shared" si="0"/>
        <v>0.46853809460563606</v>
      </c>
      <c r="K6" s="1">
        <v>2022</v>
      </c>
      <c r="L6" s="30">
        <f>E6</f>
        <v>0.65561377432186396</v>
      </c>
    </row>
    <row r="7" spans="1:12" ht="15.75" customHeight="1">
      <c r="A7" s="31"/>
      <c r="B7" s="1"/>
      <c r="C7" s="1"/>
      <c r="D7" s="1"/>
      <c r="E7" s="1"/>
      <c r="F7" s="1"/>
      <c r="G7" s="32"/>
      <c r="H7" s="32"/>
      <c r="K7" s="1">
        <v>2023</v>
      </c>
      <c r="L7" s="30">
        <f>F6</f>
        <v>0.61345507011272615</v>
      </c>
    </row>
    <row r="8" spans="1:12" ht="15.75" customHeight="1">
      <c r="A8" s="1"/>
      <c r="B8" s="13"/>
      <c r="C8" s="13"/>
      <c r="D8" s="1"/>
      <c r="E8" s="1"/>
      <c r="F8" s="1"/>
    </row>
    <row r="9" spans="1:12" ht="15.75" customHeight="1">
      <c r="A9" s="1"/>
      <c r="E9" s="1"/>
      <c r="F9" s="1"/>
      <c r="G9" s="13">
        <v>352436.4</v>
      </c>
      <c r="H9" s="13">
        <v>381729.9</v>
      </c>
    </row>
    <row r="11" spans="1:12" ht="15.75" customHeight="1">
      <c r="A11" s="1"/>
      <c r="E11" s="1"/>
      <c r="F11" s="1"/>
    </row>
    <row r="12" spans="1:12" ht="15.75" customHeight="1">
      <c r="A12" s="1"/>
      <c r="E12" s="1"/>
      <c r="F12" s="1"/>
    </row>
    <row r="13" spans="1:12" ht="15.75" customHeight="1">
      <c r="A13" s="1"/>
      <c r="E13" s="1"/>
      <c r="F13" s="1"/>
    </row>
    <row r="14" spans="1:12" ht="15.75" customHeight="1">
      <c r="A14" s="1"/>
      <c r="D14" s="1"/>
      <c r="E14" s="1"/>
      <c r="F14" s="1"/>
    </row>
    <row r="17" spans="1:6">
      <c r="A17" s="33" t="s">
        <v>40</v>
      </c>
    </row>
    <row r="18" spans="1:6">
      <c r="A18" s="33" t="s">
        <v>41</v>
      </c>
    </row>
    <row r="19" spans="1:6">
      <c r="A19" s="33" t="s">
        <v>42</v>
      </c>
    </row>
    <row r="20" spans="1:6">
      <c r="A20" s="33" t="s">
        <v>43</v>
      </c>
    </row>
    <row r="21" spans="1:6">
      <c r="A21" s="33" t="s">
        <v>45</v>
      </c>
    </row>
    <row r="22" spans="1:6">
      <c r="A22" s="33" t="s">
        <v>46</v>
      </c>
    </row>
    <row r="25" spans="1:6">
      <c r="A25" s="59" t="s">
        <v>47</v>
      </c>
      <c r="B25" s="60"/>
      <c r="C25" s="60"/>
      <c r="D25" s="60"/>
      <c r="E25" s="60"/>
      <c r="F25" s="60"/>
    </row>
    <row r="26" spans="1:6" ht="15.75" customHeight="1">
      <c r="A26" s="60"/>
      <c r="B26" s="60"/>
      <c r="C26" s="60"/>
      <c r="D26" s="60"/>
      <c r="E26" s="60"/>
      <c r="F26" s="60"/>
    </row>
    <row r="27" spans="1:6" ht="15.75" customHeight="1">
      <c r="A27" s="60"/>
      <c r="B27" s="60"/>
      <c r="C27" s="60"/>
      <c r="D27" s="60"/>
      <c r="E27" s="60"/>
      <c r="F27" s="60"/>
    </row>
  </sheetData>
  <mergeCells count="1">
    <mergeCell ref="A25:F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1"/>
  <sheetViews>
    <sheetView workbookViewId="0"/>
  </sheetViews>
  <sheetFormatPr defaultColWidth="12.6640625" defaultRowHeight="15.75" customHeight="1"/>
  <cols>
    <col min="1" max="1" width="5.21875" customWidth="1"/>
    <col min="2" max="2" width="33.88671875" customWidth="1"/>
    <col min="3" max="3" width="24.88671875" customWidth="1"/>
    <col min="4" max="4" width="24.109375" customWidth="1"/>
  </cols>
  <sheetData>
    <row r="1" spans="1:26">
      <c r="A1" s="2" t="s">
        <v>0</v>
      </c>
      <c r="B1" s="2" t="s">
        <v>3</v>
      </c>
      <c r="C1" s="2" t="s">
        <v>4</v>
      </c>
      <c r="D1" s="2" t="s">
        <v>6</v>
      </c>
      <c r="E1" s="9" t="s">
        <v>8</v>
      </c>
      <c r="F1" s="12"/>
      <c r="G1" s="12"/>
      <c r="H1" s="14"/>
      <c r="I1" s="14"/>
      <c r="J1" s="14"/>
      <c r="K1" s="14"/>
      <c r="L1" s="14"/>
      <c r="M1" s="14"/>
      <c r="N1" s="14"/>
      <c r="O1" s="14"/>
      <c r="P1" s="14"/>
      <c r="Q1" s="14"/>
      <c r="R1" s="14"/>
      <c r="S1" s="14"/>
      <c r="T1" s="14"/>
      <c r="U1" s="14"/>
      <c r="V1" s="14"/>
      <c r="W1" s="14"/>
      <c r="X1" s="14"/>
      <c r="Y1" s="14"/>
      <c r="Z1" s="14"/>
    </row>
    <row r="2" spans="1:26">
      <c r="A2" s="61" t="s">
        <v>12</v>
      </c>
      <c r="B2" s="62"/>
      <c r="C2" s="62"/>
      <c r="D2" s="63"/>
      <c r="E2" s="12"/>
      <c r="F2" s="12"/>
      <c r="G2" s="12"/>
      <c r="H2" s="14"/>
      <c r="I2" s="14"/>
      <c r="J2" s="14"/>
      <c r="K2" s="14"/>
      <c r="L2" s="14"/>
      <c r="M2" s="14"/>
      <c r="N2" s="14"/>
      <c r="O2" s="14"/>
      <c r="P2" s="14"/>
      <c r="Q2" s="14"/>
      <c r="R2" s="14"/>
      <c r="S2" s="14"/>
      <c r="T2" s="14"/>
      <c r="U2" s="14"/>
      <c r="V2" s="14"/>
      <c r="W2" s="14"/>
      <c r="X2" s="14"/>
      <c r="Y2" s="14"/>
      <c r="Z2" s="14"/>
    </row>
    <row r="3" spans="1:26">
      <c r="A3" s="18">
        <v>1</v>
      </c>
      <c r="B3" s="18" t="s">
        <v>16</v>
      </c>
      <c r="C3" s="18"/>
      <c r="D3" s="18"/>
      <c r="E3" s="14"/>
      <c r="F3" s="14"/>
      <c r="G3" s="14"/>
      <c r="H3" s="14"/>
      <c r="I3" s="14"/>
      <c r="J3" s="14"/>
      <c r="K3" s="14"/>
      <c r="L3" s="14"/>
      <c r="M3" s="14"/>
      <c r="N3" s="14"/>
      <c r="O3" s="14"/>
      <c r="P3" s="14"/>
      <c r="Q3" s="14"/>
      <c r="R3" s="14"/>
      <c r="S3" s="14"/>
      <c r="T3" s="14"/>
      <c r="U3" s="14"/>
      <c r="V3" s="14"/>
      <c r="W3" s="14"/>
      <c r="X3" s="14"/>
      <c r="Y3" s="14"/>
      <c r="Z3" s="14"/>
    </row>
    <row r="4" spans="1:26">
      <c r="A4" s="18">
        <v>2</v>
      </c>
      <c r="B4" s="18" t="s">
        <v>17</v>
      </c>
      <c r="C4" s="18"/>
      <c r="D4" s="18"/>
      <c r="E4" s="14"/>
      <c r="F4" s="14"/>
      <c r="G4" s="14"/>
      <c r="H4" s="14"/>
      <c r="I4" s="14"/>
      <c r="J4" s="14"/>
      <c r="K4" s="14"/>
      <c r="L4" s="14"/>
      <c r="M4" s="14"/>
      <c r="N4" s="14"/>
      <c r="O4" s="14"/>
      <c r="P4" s="14"/>
      <c r="Q4" s="14"/>
      <c r="R4" s="14"/>
      <c r="S4" s="14"/>
      <c r="T4" s="14"/>
      <c r="U4" s="14"/>
      <c r="V4" s="14"/>
      <c r="W4" s="14"/>
      <c r="X4" s="14"/>
      <c r="Y4" s="14"/>
      <c r="Z4" s="14"/>
    </row>
    <row r="5" spans="1:26">
      <c r="A5" s="18">
        <v>3</v>
      </c>
      <c r="B5" s="18" t="s">
        <v>20</v>
      </c>
      <c r="C5" s="18"/>
      <c r="D5" s="18"/>
      <c r="E5" s="14"/>
      <c r="F5" s="14"/>
      <c r="G5" s="14"/>
      <c r="H5" s="14"/>
      <c r="I5" s="14"/>
      <c r="J5" s="14"/>
      <c r="K5" s="14"/>
      <c r="L5" s="14"/>
      <c r="M5" s="14"/>
      <c r="N5" s="14"/>
      <c r="O5" s="14"/>
      <c r="P5" s="14"/>
      <c r="Q5" s="14"/>
      <c r="R5" s="14"/>
      <c r="S5" s="14"/>
      <c r="T5" s="14"/>
      <c r="U5" s="14"/>
      <c r="V5" s="14"/>
      <c r="W5" s="14"/>
      <c r="X5" s="14"/>
      <c r="Y5" s="14"/>
      <c r="Z5" s="14"/>
    </row>
    <row r="6" spans="1:26">
      <c r="A6" s="18">
        <v>4</v>
      </c>
      <c r="B6" s="18" t="s">
        <v>27</v>
      </c>
      <c r="C6" s="18"/>
      <c r="D6" s="18"/>
      <c r="E6" s="14"/>
      <c r="F6" s="14"/>
      <c r="G6" s="14"/>
      <c r="H6" s="14"/>
      <c r="I6" s="14"/>
      <c r="J6" s="14"/>
      <c r="K6" s="14"/>
      <c r="L6" s="14"/>
      <c r="M6" s="14"/>
      <c r="N6" s="14"/>
      <c r="O6" s="14"/>
      <c r="P6" s="14"/>
      <c r="Q6" s="14"/>
      <c r="R6" s="14"/>
      <c r="S6" s="14"/>
      <c r="T6" s="14"/>
      <c r="U6" s="14"/>
      <c r="V6" s="14"/>
      <c r="W6" s="14"/>
      <c r="X6" s="14"/>
      <c r="Y6" s="14"/>
      <c r="Z6" s="14"/>
    </row>
    <row r="7" spans="1:26">
      <c r="A7" s="18">
        <v>5</v>
      </c>
      <c r="B7" s="18" t="s">
        <v>33</v>
      </c>
      <c r="C7" s="28" t="s">
        <v>38</v>
      </c>
      <c r="D7" s="34" t="s">
        <v>39</v>
      </c>
      <c r="E7" s="14" t="s">
        <v>44</v>
      </c>
      <c r="F7" s="14"/>
      <c r="G7" s="14"/>
      <c r="H7" s="14"/>
      <c r="I7" s="14"/>
      <c r="J7" s="14"/>
      <c r="K7" s="14"/>
      <c r="L7" s="14"/>
      <c r="M7" s="14"/>
      <c r="N7" s="14"/>
      <c r="O7" s="14"/>
      <c r="P7" s="14"/>
      <c r="Q7" s="14"/>
      <c r="R7" s="14"/>
      <c r="S7" s="14"/>
      <c r="T7" s="14"/>
      <c r="U7" s="14"/>
      <c r="V7" s="14"/>
      <c r="W7" s="14"/>
      <c r="X7" s="14"/>
      <c r="Y7" s="14"/>
      <c r="Z7" s="14"/>
    </row>
    <row r="8" spans="1:26">
      <c r="A8" s="18">
        <v>6</v>
      </c>
      <c r="B8" s="18" t="s">
        <v>48</v>
      </c>
      <c r="C8" s="28" t="s">
        <v>49</v>
      </c>
      <c r="D8" s="36" t="s">
        <v>50</v>
      </c>
      <c r="E8" s="14" t="s">
        <v>44</v>
      </c>
      <c r="F8" s="14"/>
      <c r="G8" s="14"/>
      <c r="H8" s="14"/>
      <c r="I8" s="14"/>
      <c r="J8" s="14"/>
      <c r="K8" s="14"/>
      <c r="L8" s="14"/>
      <c r="M8" s="14"/>
      <c r="N8" s="14"/>
      <c r="O8" s="14"/>
      <c r="P8" s="14"/>
      <c r="Q8" s="14"/>
      <c r="R8" s="14"/>
      <c r="S8" s="14"/>
      <c r="T8" s="14"/>
      <c r="U8" s="14"/>
      <c r="V8" s="14"/>
      <c r="W8" s="14"/>
      <c r="X8" s="14"/>
      <c r="Y8" s="14"/>
      <c r="Z8" s="14"/>
    </row>
    <row r="9" spans="1:26">
      <c r="A9" s="18">
        <v>7</v>
      </c>
      <c r="B9" s="18" t="s">
        <v>55</v>
      </c>
      <c r="C9" s="18"/>
      <c r="D9" s="18"/>
      <c r="E9" s="14" t="s">
        <v>44</v>
      </c>
      <c r="F9" s="14"/>
      <c r="G9" s="14"/>
      <c r="H9" s="14"/>
      <c r="I9" s="14"/>
      <c r="J9" s="14"/>
      <c r="K9" s="14"/>
      <c r="L9" s="14"/>
      <c r="M9" s="14"/>
      <c r="N9" s="14"/>
      <c r="O9" s="14"/>
      <c r="P9" s="14"/>
      <c r="Q9" s="14"/>
      <c r="R9" s="14"/>
      <c r="S9" s="14"/>
      <c r="T9" s="14"/>
      <c r="U9" s="14"/>
      <c r="V9" s="14"/>
      <c r="W9" s="14"/>
      <c r="X9" s="14"/>
      <c r="Y9" s="14"/>
      <c r="Z9" s="14"/>
    </row>
    <row r="10" spans="1:26">
      <c r="A10" s="61" t="s">
        <v>56</v>
      </c>
      <c r="B10" s="62"/>
      <c r="C10" s="62"/>
      <c r="D10" s="63"/>
      <c r="E10" s="12"/>
      <c r="F10" s="12"/>
      <c r="G10" s="12"/>
      <c r="H10" s="14"/>
      <c r="I10" s="14"/>
      <c r="J10" s="14"/>
      <c r="K10" s="14"/>
      <c r="L10" s="14"/>
      <c r="M10" s="14"/>
      <c r="N10" s="14"/>
      <c r="O10" s="14"/>
      <c r="P10" s="14"/>
      <c r="Q10" s="14"/>
      <c r="R10" s="14"/>
      <c r="S10" s="14"/>
      <c r="T10" s="14"/>
      <c r="U10" s="14"/>
      <c r="V10" s="14"/>
      <c r="W10" s="14"/>
      <c r="X10" s="14"/>
      <c r="Y10" s="14"/>
      <c r="Z10" s="14"/>
    </row>
    <row r="11" spans="1:26">
      <c r="A11" s="18">
        <v>1</v>
      </c>
      <c r="B11" s="18"/>
      <c r="C11" s="18"/>
      <c r="D11" s="18"/>
      <c r="E11" s="14"/>
      <c r="F11" s="14"/>
      <c r="G11" s="14"/>
      <c r="H11" s="14"/>
      <c r="I11" s="14"/>
      <c r="J11" s="14"/>
      <c r="K11" s="14"/>
      <c r="L11" s="14"/>
      <c r="M11" s="14"/>
      <c r="N11" s="14"/>
      <c r="O11" s="14"/>
      <c r="P11" s="14"/>
      <c r="Q11" s="14"/>
      <c r="R11" s="14"/>
      <c r="S11" s="14"/>
      <c r="T11" s="14"/>
      <c r="U11" s="14"/>
      <c r="V11" s="14"/>
      <c r="W11" s="14"/>
      <c r="X11" s="14"/>
      <c r="Y11" s="14"/>
      <c r="Z11" s="14"/>
    </row>
    <row r="12" spans="1:26">
      <c r="A12" s="18">
        <v>2</v>
      </c>
      <c r="B12" s="18"/>
      <c r="C12" s="18"/>
      <c r="D12" s="18"/>
      <c r="E12" s="14"/>
      <c r="F12" s="14"/>
      <c r="G12" s="14"/>
      <c r="H12" s="14"/>
      <c r="I12" s="14"/>
      <c r="J12" s="14"/>
      <c r="K12" s="14"/>
      <c r="L12" s="14"/>
      <c r="M12" s="14"/>
      <c r="N12" s="14"/>
      <c r="O12" s="14"/>
      <c r="P12" s="14"/>
      <c r="Q12" s="14"/>
      <c r="R12" s="14"/>
      <c r="S12" s="14"/>
      <c r="T12" s="14"/>
      <c r="U12" s="14"/>
      <c r="V12" s="14"/>
      <c r="W12" s="14"/>
      <c r="X12" s="14"/>
      <c r="Y12" s="14"/>
      <c r="Z12" s="14"/>
    </row>
    <row r="13" spans="1:26">
      <c r="A13" s="18">
        <v>3</v>
      </c>
      <c r="B13" s="18"/>
      <c r="C13" s="18"/>
      <c r="D13" s="18"/>
      <c r="E13" s="14"/>
      <c r="F13" s="14"/>
      <c r="G13" s="14"/>
      <c r="H13" s="14"/>
      <c r="I13" s="14"/>
      <c r="J13" s="14"/>
      <c r="K13" s="14"/>
      <c r="L13" s="14"/>
      <c r="M13" s="14"/>
      <c r="N13" s="14"/>
      <c r="O13" s="14"/>
      <c r="P13" s="14"/>
      <c r="Q13" s="14"/>
      <c r="R13" s="14"/>
      <c r="S13" s="14"/>
      <c r="T13" s="14"/>
      <c r="U13" s="14"/>
      <c r="V13" s="14"/>
      <c r="W13" s="14"/>
      <c r="X13" s="14"/>
      <c r="Y13" s="14"/>
      <c r="Z13" s="14"/>
    </row>
    <row r="14" spans="1:26">
      <c r="A14" s="18">
        <v>4</v>
      </c>
      <c r="B14" s="18"/>
      <c r="C14" s="18"/>
      <c r="D14" s="18"/>
      <c r="E14" s="14"/>
      <c r="F14" s="14"/>
      <c r="G14" s="14"/>
      <c r="H14" s="14"/>
      <c r="I14" s="14"/>
      <c r="J14" s="14"/>
      <c r="K14" s="14"/>
      <c r="L14" s="14"/>
      <c r="M14" s="14"/>
      <c r="N14" s="14"/>
      <c r="O14" s="14"/>
      <c r="P14" s="14"/>
      <c r="Q14" s="14"/>
      <c r="R14" s="14"/>
      <c r="S14" s="14"/>
      <c r="T14" s="14"/>
      <c r="U14" s="14"/>
      <c r="V14" s="14"/>
      <c r="W14" s="14"/>
      <c r="X14" s="14"/>
      <c r="Y14" s="14"/>
      <c r="Z14" s="14"/>
    </row>
    <row r="15" spans="1:26">
      <c r="A15" s="18">
        <v>5</v>
      </c>
      <c r="B15" s="18" t="s">
        <v>52</v>
      </c>
      <c r="C15" s="28" t="s">
        <v>61</v>
      </c>
      <c r="D15" s="18"/>
      <c r="E15" s="14" t="s">
        <v>62</v>
      </c>
      <c r="F15" s="14"/>
      <c r="G15" s="14"/>
      <c r="H15" s="14"/>
      <c r="I15" s="14"/>
      <c r="J15" s="14"/>
      <c r="K15" s="14"/>
      <c r="L15" s="14"/>
      <c r="M15" s="14"/>
      <c r="N15" s="14"/>
      <c r="O15" s="14"/>
      <c r="P15" s="14"/>
      <c r="Q15" s="14"/>
      <c r="R15" s="14"/>
      <c r="S15" s="14"/>
      <c r="T15" s="14"/>
      <c r="U15" s="14"/>
      <c r="V15" s="14"/>
      <c r="W15" s="14"/>
      <c r="X15" s="14"/>
      <c r="Y15" s="14"/>
      <c r="Z15" s="14"/>
    </row>
    <row r="16" spans="1:26">
      <c r="A16" s="61" t="s">
        <v>63</v>
      </c>
      <c r="B16" s="62"/>
      <c r="C16" s="62"/>
      <c r="D16" s="63"/>
      <c r="E16" s="12"/>
      <c r="F16" s="12"/>
      <c r="G16" s="12"/>
      <c r="H16" s="14"/>
      <c r="I16" s="14"/>
      <c r="J16" s="14"/>
      <c r="K16" s="14"/>
      <c r="L16" s="14"/>
      <c r="M16" s="14"/>
      <c r="N16" s="14"/>
      <c r="O16" s="14"/>
      <c r="P16" s="14"/>
      <c r="Q16" s="14"/>
      <c r="R16" s="14"/>
      <c r="S16" s="14"/>
      <c r="T16" s="14"/>
      <c r="U16" s="14"/>
      <c r="V16" s="14"/>
      <c r="W16" s="14"/>
      <c r="X16" s="14"/>
      <c r="Y16" s="14"/>
      <c r="Z16" s="14"/>
    </row>
    <row r="17" spans="1:26">
      <c r="A17" s="18">
        <v>1</v>
      </c>
      <c r="B17" s="18"/>
      <c r="C17" s="18"/>
      <c r="D17" s="18"/>
      <c r="E17" s="14" t="s">
        <v>62</v>
      </c>
      <c r="F17" s="14"/>
      <c r="G17" s="14"/>
      <c r="H17" s="14"/>
      <c r="I17" s="14"/>
      <c r="J17" s="14"/>
      <c r="K17" s="14"/>
      <c r="L17" s="14"/>
      <c r="M17" s="14"/>
      <c r="N17" s="14"/>
      <c r="O17" s="14"/>
      <c r="P17" s="14"/>
      <c r="Q17" s="14"/>
      <c r="R17" s="14"/>
      <c r="S17" s="14"/>
      <c r="T17" s="14"/>
      <c r="U17" s="14"/>
      <c r="V17" s="14"/>
      <c r="W17" s="14"/>
      <c r="X17" s="14"/>
      <c r="Y17" s="14"/>
      <c r="Z17" s="14"/>
    </row>
    <row r="18" spans="1:26">
      <c r="A18" s="18">
        <v>2</v>
      </c>
      <c r="B18" s="18" t="s">
        <v>59</v>
      </c>
      <c r="C18" s="28" t="s">
        <v>65</v>
      </c>
      <c r="D18" s="38" t="s">
        <v>66</v>
      </c>
      <c r="E18" s="14" t="s">
        <v>72</v>
      </c>
      <c r="F18" s="14"/>
      <c r="G18" s="14"/>
      <c r="H18" s="14"/>
      <c r="I18" s="14"/>
      <c r="J18" s="14"/>
      <c r="K18" s="14"/>
      <c r="L18" s="14"/>
      <c r="M18" s="14"/>
      <c r="N18" s="14"/>
      <c r="O18" s="14"/>
      <c r="P18" s="14"/>
      <c r="Q18" s="14"/>
      <c r="R18" s="14"/>
      <c r="S18" s="14"/>
      <c r="T18" s="14"/>
      <c r="U18" s="14"/>
      <c r="V18" s="14"/>
      <c r="W18" s="14"/>
      <c r="X18" s="14"/>
      <c r="Y18" s="14"/>
      <c r="Z18" s="14"/>
    </row>
    <row r="19" spans="1:26">
      <c r="A19" s="18">
        <v>3</v>
      </c>
      <c r="B19" s="18" t="s">
        <v>73</v>
      </c>
      <c r="C19" s="28" t="s">
        <v>74</v>
      </c>
      <c r="D19" s="39" t="s">
        <v>75</v>
      </c>
      <c r="E19" s="14" t="s">
        <v>78</v>
      </c>
      <c r="F19" s="14"/>
      <c r="G19" s="14"/>
      <c r="H19" s="14"/>
      <c r="I19" s="14"/>
      <c r="J19" s="14"/>
      <c r="K19" s="14"/>
      <c r="L19" s="14"/>
      <c r="M19" s="14"/>
      <c r="N19" s="14"/>
      <c r="O19" s="14"/>
      <c r="P19" s="14"/>
      <c r="Q19" s="14"/>
      <c r="R19" s="14"/>
      <c r="S19" s="14"/>
      <c r="T19" s="14"/>
      <c r="U19" s="14"/>
      <c r="V19" s="14"/>
      <c r="W19" s="14"/>
      <c r="X19" s="14"/>
      <c r="Y19" s="14"/>
      <c r="Z19" s="14"/>
    </row>
    <row r="20" spans="1:26">
      <c r="A20" s="18">
        <v>4</v>
      </c>
      <c r="B20" s="18" t="s">
        <v>79</v>
      </c>
      <c r="C20" s="18"/>
      <c r="D20" s="18"/>
      <c r="E20" s="14"/>
      <c r="F20" s="14"/>
      <c r="G20" s="14"/>
      <c r="H20" s="14"/>
      <c r="I20" s="14"/>
      <c r="J20" s="14"/>
      <c r="K20" s="14"/>
      <c r="L20" s="14"/>
      <c r="M20" s="14"/>
      <c r="N20" s="14"/>
      <c r="O20" s="14"/>
      <c r="P20" s="14"/>
      <c r="Q20" s="14"/>
      <c r="R20" s="14"/>
      <c r="S20" s="14"/>
      <c r="T20" s="14"/>
      <c r="U20" s="14"/>
      <c r="V20" s="14"/>
      <c r="W20" s="14"/>
      <c r="X20" s="14"/>
      <c r="Y20" s="14"/>
      <c r="Z20" s="14"/>
    </row>
    <row r="21" spans="1:26">
      <c r="A21" s="18">
        <v>5</v>
      </c>
      <c r="B21" s="18" t="s">
        <v>7</v>
      </c>
      <c r="C21" s="18"/>
      <c r="D21" s="18"/>
      <c r="E21" s="14" t="s">
        <v>72</v>
      </c>
      <c r="F21" s="14"/>
      <c r="G21" s="14"/>
      <c r="H21" s="14"/>
      <c r="I21" s="14"/>
      <c r="J21" s="14"/>
      <c r="K21" s="14"/>
      <c r="L21" s="14"/>
      <c r="M21" s="14"/>
      <c r="N21" s="14"/>
      <c r="O21" s="14"/>
      <c r="P21" s="14"/>
      <c r="Q21" s="14"/>
      <c r="R21" s="14"/>
      <c r="S21" s="14"/>
      <c r="T21" s="14"/>
      <c r="U21" s="14"/>
      <c r="V21" s="14"/>
      <c r="W21" s="14"/>
      <c r="X21" s="14"/>
      <c r="Y21" s="14"/>
      <c r="Z21" s="14"/>
    </row>
    <row r="22" spans="1:26">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spans="1:26">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sheetData>
  <mergeCells count="3">
    <mergeCell ref="A2:D2"/>
    <mergeCell ref="A10:D10"/>
    <mergeCell ref="A16:D16"/>
  </mergeCells>
  <hyperlinks>
    <hyperlink ref="D7" r:id="rId1" xr:uid="{00000000-0004-0000-0200-000000000000}"/>
    <hyperlink ref="D8" r:id="rId2" xr:uid="{00000000-0004-0000-0200-000001000000}"/>
    <hyperlink ref="D18" r:id="rId3" xr:uid="{00000000-0004-0000-0200-000002000000}"/>
    <hyperlink ref="D19" r:id="rId4" xr:uid="{00000000-0004-0000-02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outlinePr summaryBelow="0" summaryRight="0"/>
  </sheetPr>
  <dimension ref="A1:X33"/>
  <sheetViews>
    <sheetView workbookViewId="0"/>
  </sheetViews>
  <sheetFormatPr defaultColWidth="12.6640625" defaultRowHeight="15.75" customHeight="1"/>
  <cols>
    <col min="1" max="1" width="53.21875" customWidth="1"/>
  </cols>
  <sheetData>
    <row r="1" spans="1:24">
      <c r="A1" s="11" t="s">
        <v>9</v>
      </c>
    </row>
    <row r="2" spans="1:24">
      <c r="A2" s="65" t="s">
        <v>11</v>
      </c>
      <c r="B2" s="64">
        <v>2021</v>
      </c>
      <c r="C2" s="62"/>
      <c r="D2" s="62"/>
      <c r="E2" s="63"/>
      <c r="F2" s="64">
        <v>2022</v>
      </c>
      <c r="G2" s="62"/>
      <c r="H2" s="62"/>
      <c r="I2" s="63"/>
      <c r="J2" s="64">
        <v>2023</v>
      </c>
      <c r="K2" s="62"/>
      <c r="L2" s="62"/>
      <c r="M2" s="63"/>
      <c r="N2" s="64">
        <v>2024</v>
      </c>
      <c r="O2" s="62"/>
      <c r="P2" s="62"/>
      <c r="Q2" s="63"/>
      <c r="R2" s="64">
        <v>2025</v>
      </c>
      <c r="S2" s="62"/>
      <c r="T2" s="62"/>
      <c r="U2" s="63"/>
    </row>
    <row r="3" spans="1:24">
      <c r="A3" s="66"/>
      <c r="B3" s="25" t="s">
        <v>18</v>
      </c>
      <c r="C3" s="25" t="s">
        <v>21</v>
      </c>
      <c r="D3" s="25" t="s">
        <v>22</v>
      </c>
      <c r="E3" s="25" t="s">
        <v>23</v>
      </c>
      <c r="F3" s="25" t="s">
        <v>24</v>
      </c>
      <c r="G3" s="25" t="s">
        <v>25</v>
      </c>
      <c r="H3" s="25" t="s">
        <v>22</v>
      </c>
      <c r="I3" s="25" t="s">
        <v>23</v>
      </c>
      <c r="J3" s="25" t="s">
        <v>28</v>
      </c>
      <c r="K3" s="25" t="s">
        <v>29</v>
      </c>
      <c r="L3" s="25" t="s">
        <v>22</v>
      </c>
      <c r="M3" s="25" t="s">
        <v>23</v>
      </c>
      <c r="N3" s="25" t="s">
        <v>30</v>
      </c>
      <c r="O3" s="25" t="s">
        <v>31</v>
      </c>
      <c r="P3" s="25" t="s">
        <v>22</v>
      </c>
      <c r="Q3" s="25" t="s">
        <v>23</v>
      </c>
      <c r="R3" s="25" t="s">
        <v>32</v>
      </c>
      <c r="S3" s="25" t="s">
        <v>34</v>
      </c>
      <c r="T3" s="25" t="s">
        <v>22</v>
      </c>
      <c r="U3" s="25" t="s">
        <v>23</v>
      </c>
      <c r="V3" s="11" t="s">
        <v>35</v>
      </c>
      <c r="W3" s="11" t="s">
        <v>36</v>
      </c>
    </row>
    <row r="4" spans="1:24">
      <c r="A4" s="27" t="s">
        <v>37</v>
      </c>
      <c r="B4" s="27">
        <v>-5.58</v>
      </c>
      <c r="C4" s="27">
        <v>-15.46</v>
      </c>
      <c r="D4" s="27">
        <v>-0.16</v>
      </c>
      <c r="E4" s="27">
        <v>-0.51</v>
      </c>
      <c r="F4" s="27">
        <v>-5.41</v>
      </c>
      <c r="G4" s="27">
        <v>3</v>
      </c>
      <c r="H4" s="27">
        <v>-0.16</v>
      </c>
      <c r="I4" s="27">
        <v>0.08</v>
      </c>
      <c r="J4" s="27">
        <v>-5.88</v>
      </c>
      <c r="K4" s="27">
        <v>4.67</v>
      </c>
      <c r="L4" s="27">
        <v>-0.17</v>
      </c>
      <c r="M4" s="27">
        <v>0.13</v>
      </c>
      <c r="N4" s="27">
        <v>-6.99</v>
      </c>
      <c r="O4" s="27">
        <v>4.8600000000000003</v>
      </c>
      <c r="P4" s="27">
        <v>-0.2</v>
      </c>
      <c r="Q4" s="27">
        <v>0.14000000000000001</v>
      </c>
      <c r="R4" s="27">
        <v>-7.41</v>
      </c>
      <c r="S4" s="27">
        <v>-2.75</v>
      </c>
      <c r="T4" s="27">
        <v>-0.21</v>
      </c>
      <c r="U4" s="27">
        <v>-0.08</v>
      </c>
      <c r="V4" s="11">
        <f t="shared" ref="V4:V20" si="0">RANK(Q4,$Q$4:$Q$20,FALSE)</f>
        <v>6</v>
      </c>
      <c r="W4" s="11">
        <f t="shared" ref="W4:W20" si="1">RANK(U4,$U$4:$U$20,FALSE)</f>
        <v>16</v>
      </c>
      <c r="X4" s="35">
        <f t="shared" ref="X4:X20" si="2">U4/$U$21</f>
        <v>-1.5503875968992248E-2</v>
      </c>
    </row>
    <row r="5" spans="1:24">
      <c r="A5" s="27" t="s">
        <v>53</v>
      </c>
      <c r="B5" s="27">
        <v>1.9</v>
      </c>
      <c r="C5" s="27">
        <v>-6.98</v>
      </c>
      <c r="D5" s="27">
        <v>0.27</v>
      </c>
      <c r="E5" s="27">
        <v>-1.0900000000000001</v>
      </c>
      <c r="F5" s="27">
        <v>-8.77</v>
      </c>
      <c r="G5" s="27">
        <v>-7.07</v>
      </c>
      <c r="H5" s="27">
        <v>-1.23</v>
      </c>
      <c r="I5" s="27">
        <v>-1.04</v>
      </c>
      <c r="J5" s="27">
        <v>0.73</v>
      </c>
      <c r="K5" s="27">
        <v>-14.87</v>
      </c>
      <c r="L5" s="27">
        <v>7.0000000000000007E-2</v>
      </c>
      <c r="M5" s="27">
        <v>-1.97</v>
      </c>
      <c r="N5" s="27">
        <v>-6.61</v>
      </c>
      <c r="O5" s="27">
        <v>-4.6900000000000004</v>
      </c>
      <c r="P5" s="27">
        <v>-0.66</v>
      </c>
      <c r="Q5" s="27">
        <v>-0.5</v>
      </c>
      <c r="R5" s="27">
        <v>-12.21</v>
      </c>
      <c r="S5" s="27">
        <v>0.99</v>
      </c>
      <c r="T5" s="27">
        <v>-1.25</v>
      </c>
      <c r="U5" s="27">
        <v>0.1</v>
      </c>
      <c r="V5" s="11">
        <f t="shared" si="0"/>
        <v>17</v>
      </c>
      <c r="W5" s="11">
        <f t="shared" si="1"/>
        <v>6</v>
      </c>
      <c r="X5" s="35">
        <f t="shared" si="2"/>
        <v>1.937984496124031E-2</v>
      </c>
    </row>
    <row r="6" spans="1:24">
      <c r="A6" s="27" t="s">
        <v>54</v>
      </c>
      <c r="B6" s="27">
        <v>-0.03</v>
      </c>
      <c r="C6" s="27">
        <v>7.33</v>
      </c>
      <c r="D6" s="27">
        <v>-0.01</v>
      </c>
      <c r="E6" s="27">
        <v>2.82</v>
      </c>
      <c r="F6" s="27">
        <v>-2.81</v>
      </c>
      <c r="G6" s="27">
        <v>4.16</v>
      </c>
      <c r="H6" s="27">
        <v>-1.18</v>
      </c>
      <c r="I6" s="27">
        <v>1.74</v>
      </c>
      <c r="J6" s="27">
        <v>-1.86</v>
      </c>
      <c r="K6" s="27">
        <v>7.77</v>
      </c>
      <c r="L6" s="27">
        <v>-0.79</v>
      </c>
      <c r="M6" s="27">
        <v>3.28</v>
      </c>
      <c r="N6" s="27">
        <v>0.1</v>
      </c>
      <c r="O6" s="27">
        <v>3.87</v>
      </c>
      <c r="P6" s="27">
        <v>0.04</v>
      </c>
      <c r="Q6" s="27">
        <v>1.65</v>
      </c>
      <c r="R6" s="27">
        <v>0.72</v>
      </c>
      <c r="S6" s="27">
        <v>7.3</v>
      </c>
      <c r="T6" s="27">
        <v>0.3</v>
      </c>
      <c r="U6" s="27">
        <v>3.09</v>
      </c>
      <c r="V6" s="11">
        <f t="shared" si="0"/>
        <v>2</v>
      </c>
      <c r="W6" s="11">
        <f t="shared" si="1"/>
        <v>1</v>
      </c>
      <c r="X6" s="35">
        <f t="shared" si="2"/>
        <v>0.59883720930232553</v>
      </c>
    </row>
    <row r="7" spans="1:24">
      <c r="A7" s="27" t="s">
        <v>57</v>
      </c>
      <c r="B7" s="27">
        <v>1.77</v>
      </c>
      <c r="C7" s="27">
        <v>0.61</v>
      </c>
      <c r="D7" s="27">
        <v>0.02</v>
      </c>
      <c r="E7" s="27">
        <v>0.01</v>
      </c>
      <c r="F7" s="27">
        <v>3.94</v>
      </c>
      <c r="G7" s="27">
        <v>10.93</v>
      </c>
      <c r="H7" s="27">
        <v>0.04</v>
      </c>
      <c r="I7" s="27">
        <v>0.1</v>
      </c>
      <c r="J7" s="27">
        <v>-1.56</v>
      </c>
      <c r="K7" s="27">
        <v>12.08</v>
      </c>
      <c r="L7" s="27">
        <v>-0.02</v>
      </c>
      <c r="M7" s="27">
        <v>0.12</v>
      </c>
      <c r="N7" s="27">
        <v>0.8</v>
      </c>
      <c r="O7" s="27">
        <v>5.13</v>
      </c>
      <c r="P7" s="27">
        <v>0.01</v>
      </c>
      <c r="Q7" s="27">
        <v>0.05</v>
      </c>
      <c r="R7" s="27">
        <v>-5.03</v>
      </c>
      <c r="S7" s="27">
        <v>2.7</v>
      </c>
      <c r="T7" s="27">
        <v>-0.05</v>
      </c>
      <c r="U7" s="27">
        <v>0.03</v>
      </c>
      <c r="V7" s="11">
        <f t="shared" si="0"/>
        <v>9</v>
      </c>
      <c r="W7" s="11">
        <f t="shared" si="1"/>
        <v>12</v>
      </c>
      <c r="X7" s="35">
        <f t="shared" si="2"/>
        <v>5.8139534883720929E-3</v>
      </c>
    </row>
    <row r="8" spans="1:24">
      <c r="A8" s="27" t="s">
        <v>58</v>
      </c>
      <c r="B8" s="27">
        <v>2.2200000000000002</v>
      </c>
      <c r="C8" s="27">
        <v>0.68</v>
      </c>
      <c r="D8" s="27">
        <v>0</v>
      </c>
      <c r="E8" s="27">
        <v>0</v>
      </c>
      <c r="F8" s="27">
        <v>-0.19</v>
      </c>
      <c r="G8" s="27">
        <v>-0.71</v>
      </c>
      <c r="H8" s="27">
        <v>0</v>
      </c>
      <c r="I8" s="27">
        <v>0</v>
      </c>
      <c r="J8" s="27">
        <v>1.84</v>
      </c>
      <c r="K8" s="27">
        <v>11.53</v>
      </c>
      <c r="L8" s="27">
        <v>0</v>
      </c>
      <c r="M8" s="27">
        <v>0.01</v>
      </c>
      <c r="N8" s="27">
        <v>0.11</v>
      </c>
      <c r="O8" s="27">
        <v>8.5500000000000007</v>
      </c>
      <c r="P8" s="27">
        <v>0</v>
      </c>
      <c r="Q8" s="27">
        <v>0.01</v>
      </c>
      <c r="R8" s="27">
        <v>9.25</v>
      </c>
      <c r="S8" s="27">
        <v>7.33</v>
      </c>
      <c r="T8" s="27">
        <v>0.01</v>
      </c>
      <c r="U8" s="27">
        <v>0.01</v>
      </c>
      <c r="V8" s="11">
        <f t="shared" si="0"/>
        <v>13</v>
      </c>
      <c r="W8" s="11">
        <f t="shared" si="1"/>
        <v>13</v>
      </c>
      <c r="X8" s="35">
        <f t="shared" si="2"/>
        <v>1.937984496124031E-3</v>
      </c>
    </row>
    <row r="9" spans="1:24">
      <c r="A9" s="27" t="s">
        <v>60</v>
      </c>
      <c r="B9" s="27">
        <v>-1.5</v>
      </c>
      <c r="C9" s="27">
        <v>0.05</v>
      </c>
      <c r="D9" s="27">
        <v>-0.28000000000000003</v>
      </c>
      <c r="E9" s="27">
        <v>0.01</v>
      </c>
      <c r="F9" s="27">
        <v>-2.19</v>
      </c>
      <c r="G9" s="27">
        <v>0.69</v>
      </c>
      <c r="H9" s="27">
        <v>-0.39</v>
      </c>
      <c r="I9" s="27">
        <v>0.13</v>
      </c>
      <c r="J9" s="27">
        <v>-10.82</v>
      </c>
      <c r="K9" s="27">
        <v>7.53</v>
      </c>
      <c r="L9" s="27">
        <v>-2.13</v>
      </c>
      <c r="M9" s="27">
        <v>1.36</v>
      </c>
      <c r="N9" s="27">
        <v>-8.5500000000000007</v>
      </c>
      <c r="O9" s="27">
        <v>13.89</v>
      </c>
      <c r="P9" s="27">
        <v>-1.79</v>
      </c>
      <c r="Q9" s="27">
        <v>2.5299999999999998</v>
      </c>
      <c r="R9" s="27">
        <v>-6.07</v>
      </c>
      <c r="S9" s="27">
        <v>3.84</v>
      </c>
      <c r="T9" s="27">
        <v>-1.22</v>
      </c>
      <c r="U9" s="27">
        <v>0.7</v>
      </c>
      <c r="V9" s="11">
        <f t="shared" si="0"/>
        <v>1</v>
      </c>
      <c r="W9" s="11">
        <f t="shared" si="1"/>
        <v>3</v>
      </c>
      <c r="X9" s="35">
        <f t="shared" si="2"/>
        <v>0.13565891472868216</v>
      </c>
    </row>
    <row r="10" spans="1:24">
      <c r="A10" s="27" t="s">
        <v>64</v>
      </c>
      <c r="B10" s="27">
        <v>0.56999999999999995</v>
      </c>
      <c r="C10" s="27">
        <v>-17.16</v>
      </c>
      <c r="D10" s="27">
        <v>0.04</v>
      </c>
      <c r="E10" s="27">
        <v>-1.42</v>
      </c>
      <c r="F10" s="27">
        <v>3.69</v>
      </c>
      <c r="G10" s="27">
        <v>19.190000000000001</v>
      </c>
      <c r="H10" s="27">
        <v>0.28000000000000003</v>
      </c>
      <c r="I10" s="27">
        <v>1.34</v>
      </c>
      <c r="J10" s="27">
        <v>1.88</v>
      </c>
      <c r="K10" s="27">
        <v>5.1100000000000003</v>
      </c>
      <c r="L10" s="27">
        <v>0.14000000000000001</v>
      </c>
      <c r="M10" s="27">
        <v>0.41</v>
      </c>
      <c r="N10" s="27">
        <v>0.65</v>
      </c>
      <c r="O10" s="27">
        <v>4.8</v>
      </c>
      <c r="P10" s="27">
        <v>0.05</v>
      </c>
      <c r="Q10" s="27">
        <v>0.38</v>
      </c>
      <c r="R10" s="27">
        <v>0.31</v>
      </c>
      <c r="S10" s="27">
        <v>10.29</v>
      </c>
      <c r="T10" s="27">
        <v>0.03</v>
      </c>
      <c r="U10" s="27">
        <v>0.82</v>
      </c>
      <c r="V10" s="11">
        <f t="shared" si="0"/>
        <v>4</v>
      </c>
      <c r="W10" s="11">
        <f t="shared" si="1"/>
        <v>2</v>
      </c>
      <c r="X10" s="35">
        <f t="shared" si="2"/>
        <v>0.15891472868217052</v>
      </c>
    </row>
    <row r="11" spans="1:24">
      <c r="A11" s="27" t="s">
        <v>67</v>
      </c>
      <c r="B11" s="27">
        <v>-4.43</v>
      </c>
      <c r="C11" s="27">
        <v>-30.67</v>
      </c>
      <c r="D11" s="27">
        <v>-0.06</v>
      </c>
      <c r="E11" s="27">
        <v>-0.61</v>
      </c>
      <c r="F11" s="27">
        <v>-0.79</v>
      </c>
      <c r="G11" s="27">
        <v>19.059999999999999</v>
      </c>
      <c r="H11" s="27">
        <v>-0.01</v>
      </c>
      <c r="I11" s="27">
        <v>0.27</v>
      </c>
      <c r="J11" s="27">
        <v>0.7</v>
      </c>
      <c r="K11" s="27">
        <v>33.07</v>
      </c>
      <c r="L11" s="27">
        <v>0.01</v>
      </c>
      <c r="M11" s="27">
        <v>0.54</v>
      </c>
      <c r="N11" s="27">
        <v>1.79</v>
      </c>
      <c r="O11" s="27">
        <v>0.86</v>
      </c>
      <c r="P11" s="27">
        <v>0.03</v>
      </c>
      <c r="Q11" s="27">
        <v>0.02</v>
      </c>
      <c r="R11" s="27">
        <v>-0.5</v>
      </c>
      <c r="S11" s="27">
        <v>3.57</v>
      </c>
      <c r="T11" s="27">
        <v>-0.01</v>
      </c>
      <c r="U11" s="27">
        <v>7.0000000000000007E-2</v>
      </c>
      <c r="V11" s="11">
        <f t="shared" si="0"/>
        <v>11</v>
      </c>
      <c r="W11" s="11">
        <f t="shared" si="1"/>
        <v>9</v>
      </c>
      <c r="X11" s="35">
        <f t="shared" si="2"/>
        <v>1.3565891472868219E-2</v>
      </c>
    </row>
    <row r="12" spans="1:24">
      <c r="A12" s="27" t="s">
        <v>68</v>
      </c>
      <c r="B12" s="27">
        <v>-10.79</v>
      </c>
      <c r="C12" s="27">
        <v>-18.27</v>
      </c>
      <c r="D12" s="27">
        <v>-0.16</v>
      </c>
      <c r="E12" s="27">
        <v>-0.3</v>
      </c>
      <c r="F12" s="27">
        <v>-11.41</v>
      </c>
      <c r="G12" s="27">
        <v>5.18</v>
      </c>
      <c r="H12" s="27">
        <v>-0.17</v>
      </c>
      <c r="I12" s="27">
        <v>7.0000000000000007E-2</v>
      </c>
      <c r="J12" s="27">
        <v>0.82</v>
      </c>
      <c r="K12" s="27">
        <v>82.7</v>
      </c>
      <c r="L12" s="27">
        <v>0.02</v>
      </c>
      <c r="M12" s="27">
        <v>1.1599999999999999</v>
      </c>
      <c r="N12" s="27">
        <v>-0.66</v>
      </c>
      <c r="O12" s="27">
        <v>-5.98</v>
      </c>
      <c r="P12" s="27">
        <v>-0.01</v>
      </c>
      <c r="Q12" s="27">
        <v>-0.14000000000000001</v>
      </c>
      <c r="R12" s="27">
        <v>-6.02</v>
      </c>
      <c r="S12" s="27">
        <v>2.4700000000000002</v>
      </c>
      <c r="T12" s="27">
        <v>-0.13</v>
      </c>
      <c r="U12" s="27">
        <v>0.05</v>
      </c>
      <c r="V12" s="11">
        <f t="shared" si="0"/>
        <v>16</v>
      </c>
      <c r="W12" s="11">
        <f t="shared" si="1"/>
        <v>10</v>
      </c>
      <c r="X12" s="35">
        <f t="shared" si="2"/>
        <v>9.6899224806201549E-3</v>
      </c>
    </row>
    <row r="13" spans="1:24">
      <c r="A13" s="27" t="s">
        <v>69</v>
      </c>
      <c r="B13" s="27">
        <v>0.43</v>
      </c>
      <c r="C13" s="27">
        <v>19.46</v>
      </c>
      <c r="D13" s="27">
        <v>0.01</v>
      </c>
      <c r="E13" s="27">
        <v>0.52</v>
      </c>
      <c r="F13" s="27">
        <v>0.27</v>
      </c>
      <c r="G13" s="27">
        <v>6.04</v>
      </c>
      <c r="H13" s="27">
        <v>0.01</v>
      </c>
      <c r="I13" s="27">
        <v>0.2</v>
      </c>
      <c r="J13" s="27">
        <v>1.04</v>
      </c>
      <c r="K13" s="27">
        <v>24.53</v>
      </c>
      <c r="L13" s="27">
        <v>0.04</v>
      </c>
      <c r="M13" s="27">
        <v>0.82</v>
      </c>
      <c r="N13" s="27">
        <v>2.92</v>
      </c>
      <c r="O13" s="27">
        <v>2.2999999999999998</v>
      </c>
      <c r="P13" s="27">
        <v>0.1</v>
      </c>
      <c r="Q13" s="27">
        <v>0.09</v>
      </c>
      <c r="R13" s="27">
        <v>5.81</v>
      </c>
      <c r="S13" s="27">
        <v>-5.98</v>
      </c>
      <c r="T13" s="27">
        <v>0.18</v>
      </c>
      <c r="U13" s="27">
        <v>-0.23</v>
      </c>
      <c r="V13" s="11">
        <f t="shared" si="0"/>
        <v>7</v>
      </c>
      <c r="W13" s="11">
        <f t="shared" si="1"/>
        <v>17</v>
      </c>
      <c r="X13" s="35">
        <f t="shared" si="2"/>
        <v>-4.4573643410852716E-2</v>
      </c>
    </row>
    <row r="14" spans="1:24">
      <c r="A14" s="27" t="s">
        <v>70</v>
      </c>
      <c r="B14" s="27">
        <v>-1.69</v>
      </c>
      <c r="C14" s="27">
        <v>-0.21</v>
      </c>
      <c r="D14" s="27">
        <v>-0.05</v>
      </c>
      <c r="E14" s="27">
        <v>-0.01</v>
      </c>
      <c r="F14" s="27">
        <v>6.09</v>
      </c>
      <c r="G14" s="27">
        <v>4.96</v>
      </c>
      <c r="H14" s="27">
        <v>0.15</v>
      </c>
      <c r="I14" s="27">
        <v>0.13</v>
      </c>
      <c r="J14" s="27">
        <v>0.76</v>
      </c>
      <c r="K14" s="27">
        <v>4.9400000000000004</v>
      </c>
      <c r="L14" s="27">
        <v>0.02</v>
      </c>
      <c r="M14" s="27">
        <v>0.14000000000000001</v>
      </c>
      <c r="N14" s="27">
        <v>-0.05</v>
      </c>
      <c r="O14" s="27">
        <v>8.2200000000000006</v>
      </c>
      <c r="P14" s="27">
        <v>0</v>
      </c>
      <c r="Q14" s="27">
        <v>0.22</v>
      </c>
      <c r="R14" s="27">
        <v>3.26</v>
      </c>
      <c r="S14" s="27">
        <v>5.05</v>
      </c>
      <c r="T14" s="27">
        <v>0.09</v>
      </c>
      <c r="U14" s="27">
        <v>0.14000000000000001</v>
      </c>
      <c r="V14" s="11">
        <f t="shared" si="0"/>
        <v>5</v>
      </c>
      <c r="W14" s="11">
        <f t="shared" si="1"/>
        <v>5</v>
      </c>
      <c r="X14" s="35">
        <f t="shared" si="2"/>
        <v>2.7131782945736437E-2</v>
      </c>
    </row>
    <row r="15" spans="1:24">
      <c r="A15" s="27" t="s">
        <v>71</v>
      </c>
      <c r="B15" s="27">
        <v>-0.71</v>
      </c>
      <c r="C15" s="27">
        <v>-14.66</v>
      </c>
      <c r="D15" s="27">
        <v>-0.01</v>
      </c>
      <c r="E15" s="27">
        <v>-0.21</v>
      </c>
      <c r="F15" s="27">
        <v>-1.63</v>
      </c>
      <c r="G15" s="27">
        <v>1.01</v>
      </c>
      <c r="H15" s="27">
        <v>-0.02</v>
      </c>
      <c r="I15" s="27">
        <v>0.01</v>
      </c>
      <c r="J15" s="27">
        <v>0.26</v>
      </c>
      <c r="K15" s="27">
        <v>11.35</v>
      </c>
      <c r="L15" s="27">
        <v>0</v>
      </c>
      <c r="M15" s="27">
        <v>0.14000000000000001</v>
      </c>
      <c r="N15" s="27">
        <v>3</v>
      </c>
      <c r="O15" s="27">
        <v>2.85</v>
      </c>
      <c r="P15" s="27">
        <v>0.04</v>
      </c>
      <c r="Q15" s="27">
        <v>0.04</v>
      </c>
      <c r="R15" s="27">
        <v>-3.49</v>
      </c>
      <c r="S15" s="27">
        <v>-0.13</v>
      </c>
      <c r="T15" s="27">
        <v>-0.04</v>
      </c>
      <c r="U15" s="27">
        <v>0</v>
      </c>
      <c r="V15" s="11">
        <f t="shared" si="0"/>
        <v>10</v>
      </c>
      <c r="W15" s="11">
        <f t="shared" si="1"/>
        <v>14</v>
      </c>
      <c r="X15" s="35">
        <f t="shared" si="2"/>
        <v>0</v>
      </c>
    </row>
    <row r="16" spans="1:24">
      <c r="A16" s="27" t="s">
        <v>76</v>
      </c>
      <c r="B16" s="27">
        <v>-4.74</v>
      </c>
      <c r="C16" s="27">
        <v>-11.6</v>
      </c>
      <c r="D16" s="27">
        <v>0</v>
      </c>
      <c r="E16" s="27">
        <v>0</v>
      </c>
      <c r="F16" s="27">
        <v>-11.02</v>
      </c>
      <c r="G16" s="27">
        <v>0.73</v>
      </c>
      <c r="H16" s="27">
        <v>0</v>
      </c>
      <c r="I16" s="27">
        <v>0</v>
      </c>
      <c r="J16" s="27">
        <v>0.42</v>
      </c>
      <c r="K16" s="27">
        <v>34</v>
      </c>
      <c r="L16" s="27">
        <v>0</v>
      </c>
      <c r="M16" s="27">
        <v>0</v>
      </c>
      <c r="N16" s="27">
        <v>-6.97</v>
      </c>
      <c r="O16" s="27">
        <v>-6.63</v>
      </c>
      <c r="P16" s="27">
        <v>0</v>
      </c>
      <c r="Q16" s="27">
        <v>0</v>
      </c>
      <c r="R16" s="27">
        <v>0.34</v>
      </c>
      <c r="S16" s="27">
        <v>26.89</v>
      </c>
      <c r="T16" s="27">
        <v>0</v>
      </c>
      <c r="U16" s="27">
        <v>0</v>
      </c>
      <c r="V16" s="11">
        <f t="shared" si="0"/>
        <v>14</v>
      </c>
      <c r="W16" s="11">
        <f t="shared" si="1"/>
        <v>14</v>
      </c>
      <c r="X16" s="35">
        <f t="shared" si="2"/>
        <v>0</v>
      </c>
    </row>
    <row r="17" spans="1:24">
      <c r="A17" s="27" t="s">
        <v>77</v>
      </c>
      <c r="B17" s="27">
        <v>-26.18</v>
      </c>
      <c r="C17" s="27">
        <v>-9.24</v>
      </c>
      <c r="D17" s="27">
        <v>-0.69</v>
      </c>
      <c r="E17" s="27">
        <v>-0.2</v>
      </c>
      <c r="F17" s="27">
        <v>-28.58</v>
      </c>
      <c r="G17" s="27">
        <v>-9.65</v>
      </c>
      <c r="H17" s="27">
        <v>-0.67</v>
      </c>
      <c r="I17" s="27">
        <v>-0.19</v>
      </c>
      <c r="J17" s="27">
        <v>-22.03</v>
      </c>
      <c r="K17" s="27">
        <v>8.0299999999999994</v>
      </c>
      <c r="L17" s="27">
        <v>-0.48</v>
      </c>
      <c r="M17" s="27">
        <v>0.14000000000000001</v>
      </c>
      <c r="N17" s="27">
        <v>-12.79</v>
      </c>
      <c r="O17" s="27">
        <v>25.5</v>
      </c>
      <c r="P17" s="27">
        <v>-0.3</v>
      </c>
      <c r="Q17" s="27">
        <v>0.45</v>
      </c>
      <c r="R17" s="27">
        <v>-9.2899999999999991</v>
      </c>
      <c r="S17" s="27">
        <v>8.1</v>
      </c>
      <c r="T17" s="27">
        <v>-0.22</v>
      </c>
      <c r="U17" s="27">
        <v>0.17</v>
      </c>
      <c r="V17" s="11">
        <f t="shared" si="0"/>
        <v>3</v>
      </c>
      <c r="W17" s="11">
        <f t="shared" si="1"/>
        <v>4</v>
      </c>
      <c r="X17" s="35">
        <f t="shared" si="2"/>
        <v>3.294573643410853E-2</v>
      </c>
    </row>
    <row r="18" spans="1:24">
      <c r="A18" s="27" t="s">
        <v>80</v>
      </c>
      <c r="B18" s="27">
        <v>-1.59</v>
      </c>
      <c r="C18" s="27">
        <v>-11.43</v>
      </c>
      <c r="D18" s="27">
        <v>-0.02</v>
      </c>
      <c r="E18" s="27">
        <v>-0.16</v>
      </c>
      <c r="F18" s="27">
        <v>-1.86</v>
      </c>
      <c r="G18" s="27">
        <v>-1</v>
      </c>
      <c r="H18" s="27">
        <v>-0.02</v>
      </c>
      <c r="I18" s="27">
        <v>-0.01</v>
      </c>
      <c r="J18" s="27">
        <v>0.89</v>
      </c>
      <c r="K18" s="27">
        <v>8.82</v>
      </c>
      <c r="L18" s="27">
        <v>0.01</v>
      </c>
      <c r="M18" s="27">
        <v>0.1</v>
      </c>
      <c r="N18" s="27">
        <v>-1.01</v>
      </c>
      <c r="O18" s="27">
        <v>-1.74</v>
      </c>
      <c r="P18" s="27">
        <v>-0.01</v>
      </c>
      <c r="Q18" s="27">
        <v>-0.02</v>
      </c>
      <c r="R18" s="27">
        <v>-8.68</v>
      </c>
      <c r="S18" s="27">
        <v>9.01</v>
      </c>
      <c r="T18" s="27">
        <v>-0.11</v>
      </c>
      <c r="U18" s="27">
        <v>0.1</v>
      </c>
      <c r="V18" s="11">
        <f t="shared" si="0"/>
        <v>15</v>
      </c>
      <c r="W18" s="11">
        <f t="shared" si="1"/>
        <v>6</v>
      </c>
      <c r="X18" s="35">
        <f t="shared" si="2"/>
        <v>1.937984496124031E-2</v>
      </c>
    </row>
    <row r="19" spans="1:24">
      <c r="A19" s="27" t="s">
        <v>81</v>
      </c>
      <c r="B19" s="27">
        <v>-0.94</v>
      </c>
      <c r="C19" s="27">
        <v>12.45</v>
      </c>
      <c r="D19" s="27">
        <v>-0.01</v>
      </c>
      <c r="E19" s="27">
        <v>0.11</v>
      </c>
      <c r="F19" s="27">
        <v>-4.84</v>
      </c>
      <c r="G19" s="27">
        <v>0.39</v>
      </c>
      <c r="H19" s="27">
        <v>-0.05</v>
      </c>
      <c r="I19" s="27">
        <v>0</v>
      </c>
      <c r="J19" s="27">
        <v>-4.78</v>
      </c>
      <c r="K19" s="27">
        <v>6.21</v>
      </c>
      <c r="L19" s="27">
        <v>-0.05</v>
      </c>
      <c r="M19" s="27">
        <v>0.06</v>
      </c>
      <c r="N19" s="27">
        <v>-4.7699999999999996</v>
      </c>
      <c r="O19" s="27">
        <v>7.07</v>
      </c>
      <c r="P19" s="27">
        <v>-0.05</v>
      </c>
      <c r="Q19" s="27">
        <v>7.0000000000000007E-2</v>
      </c>
      <c r="R19" s="27">
        <v>-8.81</v>
      </c>
      <c r="S19" s="27">
        <v>9.0399999999999991</v>
      </c>
      <c r="T19" s="27">
        <v>-0.1</v>
      </c>
      <c r="U19" s="27">
        <v>0.09</v>
      </c>
      <c r="V19" s="11">
        <f t="shared" si="0"/>
        <v>8</v>
      </c>
      <c r="W19" s="11">
        <f t="shared" si="1"/>
        <v>8</v>
      </c>
      <c r="X19" s="35">
        <f t="shared" si="2"/>
        <v>1.7441860465116279E-2</v>
      </c>
    </row>
    <row r="20" spans="1:24">
      <c r="A20" s="27" t="s">
        <v>82</v>
      </c>
      <c r="B20" s="27">
        <v>-1.05</v>
      </c>
      <c r="C20" s="27">
        <v>-45.07</v>
      </c>
      <c r="D20" s="27">
        <v>0</v>
      </c>
      <c r="E20" s="27">
        <v>-0.15</v>
      </c>
      <c r="F20" s="27">
        <v>15.84</v>
      </c>
      <c r="G20" s="27">
        <v>6.73</v>
      </c>
      <c r="H20" s="27">
        <v>0.02</v>
      </c>
      <c r="I20" s="27">
        <v>0.01</v>
      </c>
      <c r="J20" s="27">
        <v>0.12</v>
      </c>
      <c r="K20" s="27">
        <v>37.380000000000003</v>
      </c>
      <c r="L20" s="27">
        <v>0</v>
      </c>
      <c r="M20" s="27">
        <v>7.0000000000000007E-2</v>
      </c>
      <c r="N20" s="27">
        <v>-9.06</v>
      </c>
      <c r="O20" s="27">
        <v>9.99</v>
      </c>
      <c r="P20" s="27">
        <v>-0.02</v>
      </c>
      <c r="Q20" s="27">
        <v>0.02</v>
      </c>
      <c r="R20" s="27">
        <v>-16.57</v>
      </c>
      <c r="S20" s="27">
        <v>16.41</v>
      </c>
      <c r="T20" s="27">
        <v>-0.05</v>
      </c>
      <c r="U20" s="27">
        <v>0.04</v>
      </c>
      <c r="V20" s="11">
        <f t="shared" si="0"/>
        <v>11</v>
      </c>
      <c r="W20" s="11">
        <f t="shared" si="1"/>
        <v>11</v>
      </c>
      <c r="X20" s="35">
        <f t="shared" si="2"/>
        <v>7.7519379844961239E-3</v>
      </c>
    </row>
    <row r="21" spans="1:24">
      <c r="A21" s="27" t="s">
        <v>83</v>
      </c>
      <c r="B21" s="27">
        <v>-1.1200000000000001</v>
      </c>
      <c r="C21" s="27">
        <v>-1.19</v>
      </c>
      <c r="D21" s="27">
        <v>-1.1200000000000001</v>
      </c>
      <c r="E21" s="27">
        <v>-1.19</v>
      </c>
      <c r="F21" s="27">
        <v>-3.41</v>
      </c>
      <c r="G21" s="27">
        <v>2.83</v>
      </c>
      <c r="H21" s="27">
        <v>-3.41</v>
      </c>
      <c r="I21" s="27">
        <v>2.83</v>
      </c>
      <c r="J21" s="27">
        <v>-3.31</v>
      </c>
      <c r="K21" s="27">
        <v>6.51</v>
      </c>
      <c r="L21" s="27">
        <v>-3.31</v>
      </c>
      <c r="M21" s="27">
        <v>6.51</v>
      </c>
      <c r="N21" s="27">
        <v>-2.79</v>
      </c>
      <c r="O21" s="27">
        <v>5.01</v>
      </c>
      <c r="P21" s="27">
        <v>-2.79</v>
      </c>
      <c r="Q21" s="27">
        <v>5.01</v>
      </c>
      <c r="R21" s="27">
        <v>-2.78</v>
      </c>
      <c r="S21" s="27">
        <v>5.16</v>
      </c>
      <c r="T21" s="27">
        <v>-2.78</v>
      </c>
      <c r="U21" s="27">
        <v>5.16</v>
      </c>
    </row>
    <row r="22" spans="1:24">
      <c r="F22" s="11">
        <f>E21-E4-E5-E6-E9-E10</f>
        <v>-0.99999999999999956</v>
      </c>
      <c r="J22" s="11">
        <f>I21-I4-I5-I6-I9-I10</f>
        <v>0.57999999999999985</v>
      </c>
      <c r="N22" s="11">
        <f>M21-M4-M5-M6-M9-M10</f>
        <v>3.3</v>
      </c>
      <c r="Q22" s="11">
        <f>SUM(Q4:Q20)</f>
        <v>5.01</v>
      </c>
      <c r="R22" s="11">
        <f>Q21-Q4-Q5-Q6-Q9-Q10</f>
        <v>0.81000000000000039</v>
      </c>
      <c r="V22" s="11">
        <f>U21-U4-U5-U6-U9-U10</f>
        <v>0.5300000000000008</v>
      </c>
    </row>
    <row r="24" spans="1:24">
      <c r="A24" s="11" t="s">
        <v>84</v>
      </c>
    </row>
    <row r="25" spans="1:24">
      <c r="A25" s="65" t="s">
        <v>85</v>
      </c>
      <c r="B25" s="64">
        <v>2021</v>
      </c>
      <c r="C25" s="62"/>
      <c r="D25" s="62"/>
      <c r="E25" s="63"/>
      <c r="F25" s="64">
        <v>2022</v>
      </c>
      <c r="G25" s="62"/>
      <c r="H25" s="62"/>
      <c r="I25" s="63"/>
      <c r="J25" s="64">
        <v>2023</v>
      </c>
      <c r="K25" s="62"/>
      <c r="L25" s="62"/>
      <c r="M25" s="63"/>
      <c r="N25" s="64">
        <v>2024</v>
      </c>
      <c r="O25" s="62"/>
      <c r="P25" s="62"/>
      <c r="Q25" s="63"/>
      <c r="R25" s="64">
        <v>2025</v>
      </c>
      <c r="S25" s="62"/>
      <c r="T25" s="62"/>
      <c r="U25" s="63"/>
    </row>
    <row r="26" spans="1:24">
      <c r="A26" s="66"/>
      <c r="B26" s="25" t="s">
        <v>18</v>
      </c>
      <c r="C26" s="25" t="s">
        <v>21</v>
      </c>
      <c r="D26" s="25" t="s">
        <v>22</v>
      </c>
      <c r="E26" s="25" t="s">
        <v>23</v>
      </c>
      <c r="F26" s="25" t="s">
        <v>97</v>
      </c>
      <c r="G26" s="25" t="s">
        <v>25</v>
      </c>
      <c r="H26" s="25" t="s">
        <v>22</v>
      </c>
      <c r="I26" s="25" t="s">
        <v>23</v>
      </c>
      <c r="J26" s="25" t="s">
        <v>99</v>
      </c>
      <c r="K26" s="25" t="s">
        <v>29</v>
      </c>
      <c r="L26" s="25" t="s">
        <v>22</v>
      </c>
      <c r="M26" s="25" t="s">
        <v>23</v>
      </c>
      <c r="N26" s="25" t="s">
        <v>101</v>
      </c>
      <c r="O26" s="25" t="s">
        <v>31</v>
      </c>
      <c r="P26" s="25" t="s">
        <v>22</v>
      </c>
      <c r="Q26" s="25" t="s">
        <v>103</v>
      </c>
      <c r="R26" s="25" t="s">
        <v>105</v>
      </c>
      <c r="S26" s="25" t="s">
        <v>34</v>
      </c>
      <c r="T26" s="25" t="s">
        <v>22</v>
      </c>
      <c r="U26" s="25" t="s">
        <v>23</v>
      </c>
      <c r="W26" s="11" t="s">
        <v>36</v>
      </c>
    </row>
    <row r="27" spans="1:24">
      <c r="A27" s="27" t="s">
        <v>107</v>
      </c>
      <c r="B27" s="27">
        <v>0.92</v>
      </c>
      <c r="C27" s="27">
        <v>-0.66</v>
      </c>
      <c r="D27" s="27">
        <v>0.37</v>
      </c>
      <c r="E27" s="27">
        <v>-0.27</v>
      </c>
      <c r="F27" s="27">
        <v>1.53</v>
      </c>
      <c r="G27" s="27">
        <v>1.25</v>
      </c>
      <c r="H27" s="27">
        <v>0.59</v>
      </c>
      <c r="I27" s="27">
        <v>0.51</v>
      </c>
      <c r="J27" s="27">
        <v>0.63</v>
      </c>
      <c r="K27" s="27">
        <v>5.52</v>
      </c>
      <c r="L27" s="27">
        <v>0.24</v>
      </c>
      <c r="M27" s="27">
        <v>2.2200000000000002</v>
      </c>
      <c r="N27" s="27">
        <v>0.49</v>
      </c>
      <c r="O27" s="27">
        <v>4.83</v>
      </c>
      <c r="P27" s="27">
        <v>0.19</v>
      </c>
      <c r="Q27" s="27">
        <v>1.92</v>
      </c>
      <c r="R27" s="27">
        <v>0.68</v>
      </c>
      <c r="S27" s="27">
        <v>3.15</v>
      </c>
      <c r="T27" s="27">
        <v>0.26</v>
      </c>
      <c r="U27" s="27">
        <v>1.25</v>
      </c>
      <c r="W27" s="11">
        <f t="shared" ref="W27:W32" si="3">RANK(U27,$U$27:$U$32,FALSE)</f>
        <v>4</v>
      </c>
    </row>
    <row r="28" spans="1:24">
      <c r="A28" s="27" t="s">
        <v>115</v>
      </c>
      <c r="B28" s="27">
        <v>-1.3</v>
      </c>
      <c r="C28" s="27">
        <v>8.85</v>
      </c>
      <c r="D28" s="27">
        <v>0</v>
      </c>
      <c r="E28" s="27">
        <v>0.02</v>
      </c>
      <c r="F28" s="27">
        <v>0.02</v>
      </c>
      <c r="G28" s="27">
        <v>3.09</v>
      </c>
      <c r="H28" s="27">
        <v>0</v>
      </c>
      <c r="I28" s="27">
        <v>0.01</v>
      </c>
      <c r="J28" s="27">
        <v>2.84</v>
      </c>
      <c r="K28" s="27">
        <v>0.65</v>
      </c>
      <c r="L28" s="27">
        <v>0.01</v>
      </c>
      <c r="M28" s="27">
        <v>0</v>
      </c>
      <c r="N28" s="27">
        <v>4.57</v>
      </c>
      <c r="O28" s="27">
        <v>17.760000000000002</v>
      </c>
      <c r="P28" s="27">
        <v>0.01</v>
      </c>
      <c r="Q28" s="27">
        <v>0.04</v>
      </c>
      <c r="R28" s="27">
        <v>1.46</v>
      </c>
      <c r="S28" s="27">
        <v>-0.99</v>
      </c>
      <c r="T28" s="27">
        <v>0</v>
      </c>
      <c r="U28" s="27">
        <v>0</v>
      </c>
      <c r="W28" s="11">
        <f t="shared" si="3"/>
        <v>6</v>
      </c>
    </row>
    <row r="29" spans="1:24">
      <c r="A29" s="27" t="s">
        <v>120</v>
      </c>
      <c r="B29" s="27">
        <v>-68.900000000000006</v>
      </c>
      <c r="C29" s="27">
        <v>-6.86</v>
      </c>
      <c r="D29" s="27">
        <v>-5.67</v>
      </c>
      <c r="E29" s="27">
        <v>-0.19</v>
      </c>
      <c r="F29" s="27">
        <v>-69.83</v>
      </c>
      <c r="G29" s="27">
        <v>-1.88</v>
      </c>
      <c r="H29" s="27">
        <v>-5.52</v>
      </c>
      <c r="I29" s="27">
        <v>-0.05</v>
      </c>
      <c r="J29" s="27">
        <v>-62.75</v>
      </c>
      <c r="K29" s="27">
        <v>5.29</v>
      </c>
      <c r="L29" s="27">
        <v>-4.07</v>
      </c>
      <c r="M29" s="27">
        <v>0.13</v>
      </c>
      <c r="N29" s="27">
        <v>-62.92</v>
      </c>
      <c r="O29" s="27">
        <v>8.09</v>
      </c>
      <c r="P29" s="27">
        <v>-4.25</v>
      </c>
      <c r="Q29" s="27">
        <v>0.2</v>
      </c>
      <c r="R29" s="27">
        <v>-50.39</v>
      </c>
      <c r="S29" s="27">
        <v>4.17</v>
      </c>
      <c r="T29" s="27">
        <v>-3.01</v>
      </c>
      <c r="U29" s="27">
        <v>0.13</v>
      </c>
      <c r="W29" s="11">
        <f t="shared" si="3"/>
        <v>5</v>
      </c>
    </row>
    <row r="30" spans="1:24">
      <c r="A30" s="27" t="s">
        <v>125</v>
      </c>
      <c r="B30" s="27">
        <v>0.69</v>
      </c>
      <c r="C30" s="27">
        <v>0.09</v>
      </c>
      <c r="D30" s="27">
        <v>0.27</v>
      </c>
      <c r="E30" s="27">
        <v>0.03</v>
      </c>
      <c r="F30" s="27">
        <v>-0.36</v>
      </c>
      <c r="G30" s="27">
        <v>1.18</v>
      </c>
      <c r="H30" s="27">
        <v>-0.14000000000000001</v>
      </c>
      <c r="I30" s="27">
        <v>0.48</v>
      </c>
      <c r="J30" s="27">
        <v>-0.13</v>
      </c>
      <c r="K30" s="27">
        <v>7.71</v>
      </c>
      <c r="L30" s="27">
        <v>-0.05</v>
      </c>
      <c r="M30" s="27">
        <v>3.05</v>
      </c>
      <c r="N30" s="27">
        <v>-2.21</v>
      </c>
      <c r="O30" s="27">
        <v>8.36</v>
      </c>
      <c r="P30" s="27">
        <v>-0.91</v>
      </c>
      <c r="Q30" s="27">
        <v>3.35</v>
      </c>
      <c r="R30" s="27">
        <v>-4.97</v>
      </c>
      <c r="S30" s="27">
        <v>3.27</v>
      </c>
      <c r="T30" s="27">
        <v>-2.0499999999999998</v>
      </c>
      <c r="U30" s="27">
        <v>1.34</v>
      </c>
      <c r="W30" s="11">
        <f t="shared" si="3"/>
        <v>3</v>
      </c>
    </row>
    <row r="31" spans="1:24">
      <c r="A31" s="27" t="s">
        <v>129</v>
      </c>
      <c r="B31" s="27">
        <v>0.63</v>
      </c>
      <c r="C31" s="27">
        <v>0.67</v>
      </c>
      <c r="D31" s="27">
        <v>0.96</v>
      </c>
      <c r="E31" s="27">
        <v>1.03</v>
      </c>
      <c r="F31" s="27">
        <v>-0.32</v>
      </c>
      <c r="G31" s="27">
        <v>9.9</v>
      </c>
      <c r="H31" s="27">
        <v>-0.51</v>
      </c>
      <c r="I31" s="27">
        <v>15.47</v>
      </c>
      <c r="J31" s="27">
        <v>-0.6</v>
      </c>
      <c r="K31" s="27">
        <v>3.15</v>
      </c>
      <c r="L31" s="27">
        <v>-0.95</v>
      </c>
      <c r="M31" s="27">
        <v>5.26</v>
      </c>
      <c r="N31" s="27">
        <v>-2.19</v>
      </c>
      <c r="O31" s="27">
        <v>-3.06</v>
      </c>
      <c r="P31" s="27">
        <v>-3.26</v>
      </c>
      <c r="Q31" s="27">
        <v>-4.97</v>
      </c>
      <c r="R31" s="27">
        <v>4.7699999999999996</v>
      </c>
      <c r="S31" s="27">
        <v>22.8</v>
      </c>
      <c r="T31" s="27">
        <v>7.76</v>
      </c>
      <c r="U31" s="27">
        <v>34.229999999999997</v>
      </c>
      <c r="W31" s="11">
        <f t="shared" si="3"/>
        <v>1</v>
      </c>
    </row>
    <row r="32" spans="1:24">
      <c r="A32" s="27" t="s">
        <v>132</v>
      </c>
      <c r="B32" s="27">
        <v>-1.44</v>
      </c>
      <c r="C32" s="27">
        <v>1.79</v>
      </c>
      <c r="D32" s="27">
        <v>-2.0299999999999998</v>
      </c>
      <c r="E32" s="27">
        <v>2.4500000000000002</v>
      </c>
      <c r="F32" s="27">
        <v>-1.24</v>
      </c>
      <c r="G32" s="27">
        <v>9.5</v>
      </c>
      <c r="H32" s="27">
        <v>-1.82</v>
      </c>
      <c r="I32" s="27">
        <v>13.37</v>
      </c>
      <c r="J32" s="27">
        <v>-1.68</v>
      </c>
      <c r="K32" s="27">
        <v>3.17</v>
      </c>
      <c r="L32" s="27">
        <v>-2.4</v>
      </c>
      <c r="M32" s="27">
        <v>4.76</v>
      </c>
      <c r="N32" s="27">
        <v>-6.18</v>
      </c>
      <c r="O32" s="27">
        <v>-4.1100000000000003</v>
      </c>
      <c r="P32" s="27">
        <v>-8.5299999999999994</v>
      </c>
      <c r="Q32" s="27">
        <v>-5.99</v>
      </c>
      <c r="R32" s="27">
        <v>2.54</v>
      </c>
      <c r="S32" s="27">
        <v>23.83</v>
      </c>
      <c r="T32" s="27">
        <v>3.79</v>
      </c>
      <c r="U32" s="27">
        <v>31.84</v>
      </c>
      <c r="W32" s="11">
        <f t="shared" si="3"/>
        <v>2</v>
      </c>
    </row>
    <row r="33" spans="1:21">
      <c r="A33" s="27" t="s">
        <v>83</v>
      </c>
      <c r="B33" s="27">
        <v>-1.1200000000000001</v>
      </c>
      <c r="C33" s="27">
        <v>-1.19</v>
      </c>
      <c r="D33" s="27">
        <v>-1.1200000000000001</v>
      </c>
      <c r="E33" s="27">
        <v>-1.19</v>
      </c>
      <c r="F33" s="27">
        <v>-3.41</v>
      </c>
      <c r="G33" s="27">
        <v>2.83</v>
      </c>
      <c r="H33" s="27">
        <v>-3.41</v>
      </c>
      <c r="I33" s="27">
        <v>2.83</v>
      </c>
      <c r="J33" s="27">
        <v>-3.31</v>
      </c>
      <c r="K33" s="27">
        <v>6.51</v>
      </c>
      <c r="L33" s="27">
        <v>-3.31</v>
      </c>
      <c r="M33" s="27">
        <v>6.51</v>
      </c>
      <c r="N33" s="27">
        <v>-2.79</v>
      </c>
      <c r="O33" s="27">
        <v>5.01</v>
      </c>
      <c r="P33" s="27">
        <v>-2.79</v>
      </c>
      <c r="Q33" s="27">
        <v>5.01</v>
      </c>
      <c r="R33" s="27">
        <v>-2.78</v>
      </c>
      <c r="S33" s="27">
        <v>5.16</v>
      </c>
      <c r="T33" s="27">
        <v>-2.78</v>
      </c>
      <c r="U33" s="27">
        <v>5.16</v>
      </c>
    </row>
  </sheetData>
  <mergeCells count="12">
    <mergeCell ref="R2:U2"/>
    <mergeCell ref="A25:A26"/>
    <mergeCell ref="R25:U25"/>
    <mergeCell ref="B25:E25"/>
    <mergeCell ref="F25:I25"/>
    <mergeCell ref="J25:M25"/>
    <mergeCell ref="N25:Q25"/>
    <mergeCell ref="A2:A3"/>
    <mergeCell ref="B2:E2"/>
    <mergeCell ref="F2:I2"/>
    <mergeCell ref="J2:M2"/>
    <mergeCell ref="N2:Q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outlinePr summaryBelow="0" summaryRight="0"/>
  </sheetPr>
  <dimension ref="A1:F64"/>
  <sheetViews>
    <sheetView workbookViewId="0"/>
  </sheetViews>
  <sheetFormatPr defaultColWidth="12.6640625" defaultRowHeight="15.75" customHeight="1"/>
  <cols>
    <col min="1" max="1" width="50.44140625" customWidth="1"/>
  </cols>
  <sheetData>
    <row r="1" spans="1:6">
      <c r="A1" s="40" t="s">
        <v>11</v>
      </c>
      <c r="B1" s="40">
        <v>2021</v>
      </c>
      <c r="C1" s="40">
        <v>2022</v>
      </c>
      <c r="D1" s="40">
        <v>2023</v>
      </c>
      <c r="E1" s="40" t="s">
        <v>86</v>
      </c>
      <c r="F1" s="40" t="s">
        <v>87</v>
      </c>
    </row>
    <row r="2" spans="1:6">
      <c r="A2" s="41" t="s">
        <v>88</v>
      </c>
      <c r="B2" s="41">
        <v>159</v>
      </c>
      <c r="C2" s="41">
        <v>167.29</v>
      </c>
      <c r="D2" s="41">
        <v>174.04</v>
      </c>
      <c r="E2" s="41">
        <v>181.04</v>
      </c>
      <c r="F2" s="41">
        <v>192.37</v>
      </c>
    </row>
    <row r="3" spans="1:6">
      <c r="A3" s="40" t="s">
        <v>89</v>
      </c>
      <c r="B3" s="40">
        <v>168.75</v>
      </c>
      <c r="C3" s="40">
        <v>180.89</v>
      </c>
      <c r="D3" s="40">
        <v>191.34</v>
      </c>
      <c r="E3" s="40">
        <v>209.11</v>
      </c>
      <c r="F3" s="40">
        <v>228.99</v>
      </c>
    </row>
    <row r="4" spans="1:6">
      <c r="A4" s="40" t="s">
        <v>90</v>
      </c>
      <c r="B4" s="40">
        <v>194.31</v>
      </c>
      <c r="C4" s="40">
        <v>200.55</v>
      </c>
      <c r="D4" s="40">
        <v>206.57</v>
      </c>
      <c r="E4" s="40">
        <v>214.35</v>
      </c>
      <c r="F4" s="40">
        <v>212.01</v>
      </c>
    </row>
    <row r="5" spans="1:6">
      <c r="A5" s="40" t="s">
        <v>91</v>
      </c>
      <c r="B5" s="40">
        <v>161.94</v>
      </c>
      <c r="C5" s="40">
        <v>169.36</v>
      </c>
      <c r="D5" s="40">
        <v>174.88</v>
      </c>
      <c r="E5" s="40">
        <v>182.09</v>
      </c>
      <c r="F5" s="40">
        <v>192.6</v>
      </c>
    </row>
    <row r="6" spans="1:6">
      <c r="A6" s="40" t="s">
        <v>92</v>
      </c>
      <c r="B6" s="40">
        <v>183.82</v>
      </c>
      <c r="C6" s="40">
        <v>199.88</v>
      </c>
      <c r="D6" s="40">
        <v>212.17</v>
      </c>
      <c r="E6" s="40">
        <v>241.83</v>
      </c>
      <c r="F6" s="40">
        <v>279.27</v>
      </c>
    </row>
    <row r="7" spans="1:6">
      <c r="A7" s="40" t="s">
        <v>93</v>
      </c>
      <c r="B7" s="40">
        <v>152.09</v>
      </c>
      <c r="C7" s="40">
        <v>161.72</v>
      </c>
      <c r="D7" s="40">
        <v>171.92</v>
      </c>
      <c r="E7" s="40">
        <v>172.61</v>
      </c>
      <c r="F7" s="40">
        <v>174.83</v>
      </c>
    </row>
    <row r="8" spans="1:6">
      <c r="A8" s="40" t="s">
        <v>94</v>
      </c>
      <c r="B8" s="40">
        <v>136.5</v>
      </c>
      <c r="C8" s="40">
        <v>144.87</v>
      </c>
      <c r="D8" s="40">
        <v>150.72</v>
      </c>
      <c r="E8" s="40">
        <v>155.68</v>
      </c>
      <c r="F8" s="40">
        <v>157.82</v>
      </c>
    </row>
    <row r="9" spans="1:6">
      <c r="A9" s="40" t="s">
        <v>95</v>
      </c>
      <c r="B9" s="40">
        <v>149.78</v>
      </c>
      <c r="C9" s="40">
        <v>156.29</v>
      </c>
      <c r="D9" s="40">
        <v>161.69999999999999</v>
      </c>
      <c r="E9" s="40">
        <v>163.19999999999999</v>
      </c>
      <c r="F9" s="40">
        <v>164.18</v>
      </c>
    </row>
    <row r="10" spans="1:6">
      <c r="A10" s="40" t="s">
        <v>96</v>
      </c>
      <c r="B10" s="40">
        <v>152.27000000000001</v>
      </c>
      <c r="C10" s="40">
        <v>158.47</v>
      </c>
      <c r="D10" s="40">
        <v>164.11</v>
      </c>
      <c r="E10" s="40">
        <v>165.42</v>
      </c>
      <c r="F10" s="40">
        <v>172.5</v>
      </c>
    </row>
    <row r="11" spans="1:6">
      <c r="A11" s="41" t="s">
        <v>53</v>
      </c>
      <c r="B11" s="41">
        <v>140.19</v>
      </c>
      <c r="C11" s="41">
        <v>168.75</v>
      </c>
      <c r="D11" s="41">
        <v>165.29</v>
      </c>
      <c r="E11" s="41">
        <v>165.81</v>
      </c>
      <c r="F11" s="41">
        <v>160.28</v>
      </c>
    </row>
    <row r="12" spans="1:6">
      <c r="A12" s="40" t="s">
        <v>98</v>
      </c>
      <c r="B12" s="40">
        <v>138.22</v>
      </c>
      <c r="C12" s="40">
        <v>166.9</v>
      </c>
      <c r="D12" s="40">
        <v>159.09</v>
      </c>
      <c r="E12" s="40">
        <v>158.87</v>
      </c>
      <c r="F12" s="40">
        <v>153.34</v>
      </c>
    </row>
    <row r="13" spans="1:6">
      <c r="A13" s="40" t="s">
        <v>100</v>
      </c>
      <c r="B13" s="40" t="s">
        <v>102</v>
      </c>
      <c r="C13" s="40" t="s">
        <v>102</v>
      </c>
      <c r="D13" s="40" t="s">
        <v>102</v>
      </c>
      <c r="E13" s="40" t="s">
        <v>102</v>
      </c>
      <c r="F13" s="40" t="s">
        <v>102</v>
      </c>
    </row>
    <row r="14" spans="1:6">
      <c r="A14" s="40" t="s">
        <v>104</v>
      </c>
      <c r="B14" s="40">
        <v>161.69</v>
      </c>
      <c r="C14" s="40">
        <v>197.7</v>
      </c>
      <c r="D14" s="40">
        <v>227.94</v>
      </c>
      <c r="E14" s="40">
        <v>244.2</v>
      </c>
      <c r="F14" s="40">
        <v>247.49</v>
      </c>
    </row>
    <row r="15" spans="1:6">
      <c r="A15" s="40" t="s">
        <v>106</v>
      </c>
      <c r="B15" s="40">
        <v>137.26</v>
      </c>
      <c r="C15" s="40">
        <v>144.38</v>
      </c>
      <c r="D15" s="40">
        <v>150.11000000000001</v>
      </c>
      <c r="E15" s="40">
        <v>148.18</v>
      </c>
      <c r="F15" s="40">
        <v>150.22</v>
      </c>
    </row>
    <row r="16" spans="1:6">
      <c r="A16" s="41" t="s">
        <v>54</v>
      </c>
      <c r="B16" s="41">
        <v>152.59</v>
      </c>
      <c r="C16" s="41">
        <v>158.78</v>
      </c>
      <c r="D16" s="41">
        <v>163.49</v>
      </c>
      <c r="E16" s="41">
        <v>165.07</v>
      </c>
      <c r="F16" s="41">
        <v>168.45</v>
      </c>
    </row>
    <row r="17" spans="1:6">
      <c r="A17" s="40" t="s">
        <v>108</v>
      </c>
      <c r="B17" s="40" t="s">
        <v>102</v>
      </c>
      <c r="C17" s="40" t="s">
        <v>102</v>
      </c>
      <c r="D17" s="40" t="s">
        <v>102</v>
      </c>
      <c r="E17" s="40" t="s">
        <v>102</v>
      </c>
      <c r="F17" s="40" t="s">
        <v>102</v>
      </c>
    </row>
    <row r="18" spans="1:6">
      <c r="A18" s="40" t="s">
        <v>109</v>
      </c>
      <c r="B18" s="40">
        <v>152.26</v>
      </c>
      <c r="C18" s="40">
        <v>160.44</v>
      </c>
      <c r="D18" s="40">
        <v>165.39</v>
      </c>
      <c r="E18" s="40">
        <v>170.8</v>
      </c>
      <c r="F18" s="40">
        <v>176.68</v>
      </c>
    </row>
    <row r="19" spans="1:6">
      <c r="A19" s="40" t="s">
        <v>110</v>
      </c>
      <c r="B19" s="40">
        <v>193.21</v>
      </c>
      <c r="C19" s="40">
        <v>207.98</v>
      </c>
      <c r="D19" s="40">
        <v>222.88</v>
      </c>
      <c r="E19" s="40">
        <v>238.45</v>
      </c>
      <c r="F19" s="40">
        <v>247.52</v>
      </c>
    </row>
    <row r="20" spans="1:6">
      <c r="A20" s="40" t="s">
        <v>111</v>
      </c>
      <c r="B20" s="40">
        <v>150.91999999999999</v>
      </c>
      <c r="C20" s="40">
        <v>155.87</v>
      </c>
      <c r="D20" s="40">
        <v>158.76</v>
      </c>
      <c r="E20" s="40">
        <v>161.86000000000001</v>
      </c>
      <c r="F20" s="40">
        <v>163.9</v>
      </c>
    </row>
    <row r="21" spans="1:6">
      <c r="A21" s="40" t="s">
        <v>112</v>
      </c>
      <c r="B21" s="40">
        <v>142.43</v>
      </c>
      <c r="C21" s="40">
        <v>145.18</v>
      </c>
      <c r="D21" s="40">
        <v>145.82</v>
      </c>
      <c r="E21" s="40">
        <v>148.07</v>
      </c>
      <c r="F21" s="40">
        <v>149.4</v>
      </c>
    </row>
    <row r="22" spans="1:6">
      <c r="A22" s="40" t="s">
        <v>113</v>
      </c>
      <c r="B22" s="40">
        <v>153.09</v>
      </c>
      <c r="C22" s="40">
        <v>154.38999999999999</v>
      </c>
      <c r="D22" s="40">
        <v>157.37</v>
      </c>
      <c r="E22" s="40">
        <v>159.04</v>
      </c>
      <c r="F22" s="40">
        <v>166.23</v>
      </c>
    </row>
    <row r="23" spans="1:6">
      <c r="A23" s="40" t="s">
        <v>114</v>
      </c>
      <c r="B23" s="40">
        <v>167.78</v>
      </c>
      <c r="C23" s="40">
        <v>169.05</v>
      </c>
      <c r="D23" s="40">
        <v>176.32</v>
      </c>
      <c r="E23" s="40">
        <v>179.61</v>
      </c>
      <c r="F23" s="40">
        <v>179.77</v>
      </c>
    </row>
    <row r="24" spans="1:6">
      <c r="A24" s="40" t="s">
        <v>116</v>
      </c>
      <c r="B24" s="40">
        <v>163.09</v>
      </c>
      <c r="C24" s="40">
        <v>172.98</v>
      </c>
      <c r="D24" s="40">
        <v>178.42</v>
      </c>
      <c r="E24" s="40">
        <v>180</v>
      </c>
      <c r="F24" s="40">
        <v>184</v>
      </c>
    </row>
    <row r="25" spans="1:6">
      <c r="A25" s="40" t="s">
        <v>117</v>
      </c>
      <c r="B25" s="40">
        <v>149.88</v>
      </c>
      <c r="C25" s="40">
        <v>152.77000000000001</v>
      </c>
      <c r="D25" s="40">
        <v>154.07</v>
      </c>
      <c r="E25" s="40">
        <v>158.57</v>
      </c>
      <c r="F25" s="40">
        <v>163.13</v>
      </c>
    </row>
    <row r="26" spans="1:6">
      <c r="A26" s="40" t="s">
        <v>118</v>
      </c>
      <c r="B26" s="40">
        <v>165</v>
      </c>
      <c r="C26" s="40">
        <v>159.58000000000001</v>
      </c>
      <c r="D26" s="40">
        <v>162.62</v>
      </c>
      <c r="E26" s="40">
        <v>165.88</v>
      </c>
      <c r="F26" s="40">
        <v>170</v>
      </c>
    </row>
    <row r="27" spans="1:6">
      <c r="A27" s="40" t="s">
        <v>119</v>
      </c>
      <c r="B27" s="40">
        <v>120.6</v>
      </c>
      <c r="C27" s="40">
        <v>137.88999999999999</v>
      </c>
      <c r="D27" s="40">
        <v>145.69</v>
      </c>
      <c r="E27" s="40">
        <v>147.91</v>
      </c>
      <c r="F27" s="40">
        <v>154.25</v>
      </c>
    </row>
    <row r="28" spans="1:6">
      <c r="A28" s="40" t="s">
        <v>121</v>
      </c>
      <c r="B28" s="40">
        <v>157.02000000000001</v>
      </c>
      <c r="C28" s="40">
        <v>162.65</v>
      </c>
      <c r="D28" s="40">
        <v>167.69</v>
      </c>
      <c r="E28" s="40">
        <v>168.7</v>
      </c>
      <c r="F28" s="40">
        <v>171.61</v>
      </c>
    </row>
    <row r="29" spans="1:6">
      <c r="A29" s="40" t="s">
        <v>122</v>
      </c>
      <c r="B29" s="40">
        <v>163.22999999999999</v>
      </c>
      <c r="C29" s="40">
        <v>164.78</v>
      </c>
      <c r="D29" s="40">
        <v>167.47</v>
      </c>
      <c r="E29" s="40">
        <v>169.48</v>
      </c>
      <c r="F29" s="40">
        <v>171.04</v>
      </c>
    </row>
    <row r="30" spans="1:6">
      <c r="A30" s="40" t="s">
        <v>123</v>
      </c>
      <c r="B30" s="40">
        <v>137.44999999999999</v>
      </c>
      <c r="C30" s="40">
        <v>144.93</v>
      </c>
      <c r="D30" s="40">
        <v>150.72999999999999</v>
      </c>
      <c r="E30" s="40">
        <v>153.16</v>
      </c>
      <c r="F30" s="40">
        <v>154.53</v>
      </c>
    </row>
    <row r="31" spans="1:6">
      <c r="A31" s="40" t="s">
        <v>124</v>
      </c>
      <c r="B31" s="40">
        <v>147.94999999999999</v>
      </c>
      <c r="C31" s="40">
        <v>150.19999999999999</v>
      </c>
      <c r="D31" s="40">
        <v>154.91</v>
      </c>
      <c r="E31" s="40">
        <v>158.97</v>
      </c>
      <c r="F31" s="40">
        <v>162.46</v>
      </c>
    </row>
    <row r="32" spans="1:6">
      <c r="A32" s="40" t="s">
        <v>126</v>
      </c>
      <c r="B32" s="40">
        <v>152.61000000000001</v>
      </c>
      <c r="C32" s="40">
        <v>155.32</v>
      </c>
      <c r="D32" s="40">
        <v>158.38</v>
      </c>
      <c r="E32" s="40">
        <v>160.85</v>
      </c>
      <c r="F32" s="40">
        <v>166.65</v>
      </c>
    </row>
    <row r="33" spans="1:6">
      <c r="A33" s="41" t="s">
        <v>57</v>
      </c>
      <c r="B33" s="41">
        <v>165.76</v>
      </c>
      <c r="C33" s="41">
        <v>170.05</v>
      </c>
      <c r="D33" s="41">
        <v>171.58</v>
      </c>
      <c r="E33" s="41">
        <v>173.92</v>
      </c>
      <c r="F33" s="41">
        <v>177.61</v>
      </c>
    </row>
    <row r="34" spans="1:6">
      <c r="A34" s="40" t="s">
        <v>127</v>
      </c>
      <c r="B34" s="40">
        <v>103.34</v>
      </c>
      <c r="C34" s="40">
        <v>105.39</v>
      </c>
      <c r="D34" s="40">
        <v>109.96</v>
      </c>
      <c r="E34" s="40">
        <v>118.66</v>
      </c>
      <c r="F34" s="40">
        <v>123.78</v>
      </c>
    </row>
    <row r="35" spans="1:6">
      <c r="A35" s="40" t="s">
        <v>128</v>
      </c>
      <c r="B35" s="40">
        <v>186.79</v>
      </c>
      <c r="C35" s="40">
        <v>191.42</v>
      </c>
      <c r="D35" s="40">
        <v>191.95</v>
      </c>
      <c r="E35" s="40">
        <v>193.09</v>
      </c>
      <c r="F35" s="40">
        <v>197.44</v>
      </c>
    </row>
    <row r="36" spans="1:6">
      <c r="A36" s="41" t="s">
        <v>130</v>
      </c>
      <c r="B36" s="41">
        <v>127.88</v>
      </c>
      <c r="C36" s="41">
        <v>128.66</v>
      </c>
      <c r="D36" s="41">
        <v>129.71</v>
      </c>
      <c r="E36" s="41">
        <v>135.5</v>
      </c>
      <c r="F36" s="41">
        <v>137.35</v>
      </c>
    </row>
    <row r="37" spans="1:6">
      <c r="A37" s="41" t="s">
        <v>60</v>
      </c>
      <c r="B37" s="41">
        <v>159.85</v>
      </c>
      <c r="C37" s="41">
        <v>169.13</v>
      </c>
      <c r="D37" s="41">
        <v>173.63</v>
      </c>
      <c r="E37" s="41">
        <v>174.89</v>
      </c>
      <c r="F37" s="41">
        <v>176.57</v>
      </c>
    </row>
    <row r="38" spans="1:6">
      <c r="A38" s="41" t="s">
        <v>131</v>
      </c>
      <c r="B38" s="41">
        <v>165.34</v>
      </c>
      <c r="C38" s="41">
        <v>176.66</v>
      </c>
      <c r="D38" s="41">
        <v>184.1</v>
      </c>
      <c r="E38" s="41">
        <v>188.43</v>
      </c>
      <c r="F38" s="41">
        <v>193.29</v>
      </c>
    </row>
    <row r="39" spans="1:6">
      <c r="A39" s="40" t="s">
        <v>133</v>
      </c>
      <c r="B39" s="40">
        <v>152</v>
      </c>
      <c r="C39" s="40">
        <v>155.33000000000001</v>
      </c>
      <c r="D39" s="40">
        <v>159.41999999999999</v>
      </c>
      <c r="E39" s="40">
        <v>164.69</v>
      </c>
      <c r="F39" s="40">
        <v>167.97</v>
      </c>
    </row>
    <row r="40" spans="1:6">
      <c r="A40" s="40" t="s">
        <v>134</v>
      </c>
      <c r="B40" s="40">
        <v>170.4</v>
      </c>
      <c r="C40" s="40">
        <v>184.4</v>
      </c>
      <c r="D40" s="40">
        <v>192.43</v>
      </c>
      <c r="E40" s="40">
        <v>196.26</v>
      </c>
      <c r="F40" s="40">
        <v>200.41</v>
      </c>
    </row>
    <row r="41" spans="1:6">
      <c r="A41" s="41" t="s">
        <v>67</v>
      </c>
      <c r="B41" s="41">
        <v>152.15</v>
      </c>
      <c r="C41" s="41">
        <v>169.19</v>
      </c>
      <c r="D41" s="41">
        <v>169.26</v>
      </c>
      <c r="E41" s="41">
        <v>175.81</v>
      </c>
      <c r="F41" s="41">
        <v>175.76</v>
      </c>
    </row>
    <row r="42" spans="1:6">
      <c r="A42" s="40" t="s">
        <v>135</v>
      </c>
      <c r="B42" s="40" t="s">
        <v>102</v>
      </c>
      <c r="C42" s="40" t="s">
        <v>102</v>
      </c>
      <c r="D42" s="40" t="s">
        <v>102</v>
      </c>
      <c r="E42" s="40" t="s">
        <v>102</v>
      </c>
      <c r="F42" s="40" t="s">
        <v>102</v>
      </c>
    </row>
    <row r="43" spans="1:6">
      <c r="A43" s="40" t="s">
        <v>136</v>
      </c>
      <c r="B43" s="40">
        <v>139.13999999999999</v>
      </c>
      <c r="C43" s="40">
        <v>141.63</v>
      </c>
      <c r="D43" s="40">
        <v>148.26</v>
      </c>
      <c r="E43" s="40">
        <v>152.15</v>
      </c>
      <c r="F43" s="40">
        <v>154.09</v>
      </c>
    </row>
    <row r="44" spans="1:6">
      <c r="A44" s="40" t="s">
        <v>137</v>
      </c>
      <c r="B44" s="40">
        <v>147.03</v>
      </c>
      <c r="C44" s="40">
        <v>150.24</v>
      </c>
      <c r="D44" s="40">
        <v>159.07</v>
      </c>
      <c r="E44" s="40">
        <v>163.30000000000001</v>
      </c>
      <c r="F44" s="40">
        <v>166.59</v>
      </c>
    </row>
    <row r="45" spans="1:6">
      <c r="A45" s="40" t="s">
        <v>138</v>
      </c>
      <c r="B45" s="40">
        <v>143</v>
      </c>
      <c r="C45" s="40">
        <v>144.51</v>
      </c>
      <c r="D45" s="40">
        <v>151.79</v>
      </c>
      <c r="E45" s="40">
        <v>154.76</v>
      </c>
      <c r="F45" s="40">
        <v>155.72</v>
      </c>
    </row>
    <row r="46" spans="1:6">
      <c r="A46" s="40" t="s">
        <v>139</v>
      </c>
      <c r="B46" s="40">
        <v>161.82</v>
      </c>
      <c r="C46" s="40">
        <v>203.07</v>
      </c>
      <c r="D46" s="40">
        <v>190.34</v>
      </c>
      <c r="E46" s="40">
        <v>201.51</v>
      </c>
      <c r="F46" s="40">
        <v>197.63</v>
      </c>
    </row>
    <row r="47" spans="1:6">
      <c r="A47" s="40" t="s">
        <v>140</v>
      </c>
      <c r="B47" s="40">
        <v>159.61000000000001</v>
      </c>
      <c r="C47" s="40">
        <v>169.1</v>
      </c>
      <c r="D47" s="40">
        <v>186.39</v>
      </c>
      <c r="E47" s="40">
        <v>186.11</v>
      </c>
      <c r="F47" s="40">
        <v>187.34</v>
      </c>
    </row>
    <row r="48" spans="1:6">
      <c r="A48" s="41" t="s">
        <v>68</v>
      </c>
      <c r="B48" s="41">
        <v>134.34</v>
      </c>
      <c r="C48" s="41">
        <v>138.09</v>
      </c>
      <c r="D48" s="41">
        <v>140.22</v>
      </c>
      <c r="E48" s="41">
        <v>142.65</v>
      </c>
      <c r="F48" s="41">
        <v>144.86000000000001</v>
      </c>
    </row>
    <row r="49" spans="1:6">
      <c r="A49" s="40" t="s">
        <v>141</v>
      </c>
      <c r="B49" s="40">
        <v>133.22</v>
      </c>
      <c r="C49" s="40">
        <v>136.77000000000001</v>
      </c>
      <c r="D49" s="40">
        <v>139.15</v>
      </c>
      <c r="E49" s="40">
        <v>141.04</v>
      </c>
      <c r="F49" s="40">
        <v>143.07</v>
      </c>
    </row>
    <row r="50" spans="1:6">
      <c r="A50" s="40" t="s">
        <v>142</v>
      </c>
      <c r="B50" s="40">
        <v>135.51</v>
      </c>
      <c r="C50" s="40">
        <v>139.57</v>
      </c>
      <c r="D50" s="40">
        <v>141.61000000000001</v>
      </c>
      <c r="E50" s="40">
        <v>144.69999999999999</v>
      </c>
      <c r="F50" s="40">
        <v>146.97999999999999</v>
      </c>
    </row>
    <row r="51" spans="1:6">
      <c r="A51" s="41" t="s">
        <v>69</v>
      </c>
      <c r="B51" s="41">
        <v>119.78</v>
      </c>
      <c r="C51" s="41">
        <v>120.23</v>
      </c>
      <c r="D51" s="41">
        <v>121.18</v>
      </c>
      <c r="E51" s="41">
        <v>121.96</v>
      </c>
      <c r="F51" s="41">
        <v>121.6</v>
      </c>
    </row>
    <row r="52" spans="1:6">
      <c r="A52" s="41" t="s">
        <v>70</v>
      </c>
      <c r="B52" s="41">
        <v>148.80000000000001</v>
      </c>
      <c r="C52" s="41">
        <v>157.03</v>
      </c>
      <c r="D52" s="41">
        <v>161.29</v>
      </c>
      <c r="E52" s="41">
        <v>164.13</v>
      </c>
      <c r="F52" s="41">
        <v>167.2</v>
      </c>
    </row>
    <row r="53" spans="1:6">
      <c r="A53" s="40" t="s">
        <v>143</v>
      </c>
      <c r="B53" s="40">
        <v>159.5</v>
      </c>
      <c r="C53" s="40">
        <v>175.45</v>
      </c>
      <c r="D53" s="40">
        <v>178.43</v>
      </c>
      <c r="E53" s="40">
        <v>180</v>
      </c>
      <c r="F53" s="40">
        <v>184.09</v>
      </c>
    </row>
    <row r="54" spans="1:6">
      <c r="A54" s="40" t="s">
        <v>144</v>
      </c>
      <c r="B54" s="40">
        <v>136.55000000000001</v>
      </c>
      <c r="C54" s="40">
        <v>136.07</v>
      </c>
      <c r="D54" s="40">
        <v>140.13</v>
      </c>
      <c r="E54" s="40">
        <v>143.22</v>
      </c>
      <c r="F54" s="40">
        <v>144.56</v>
      </c>
    </row>
    <row r="55" spans="1:6">
      <c r="A55" s="40" t="s">
        <v>145</v>
      </c>
      <c r="B55" s="40">
        <v>145.28</v>
      </c>
      <c r="C55" s="40">
        <v>139.85</v>
      </c>
      <c r="D55" s="40">
        <v>141.61000000000001</v>
      </c>
      <c r="E55" s="40">
        <v>143.81</v>
      </c>
      <c r="F55" s="40">
        <v>146.09</v>
      </c>
    </row>
    <row r="56" spans="1:6">
      <c r="A56" s="40" t="s">
        <v>146</v>
      </c>
      <c r="B56" s="40">
        <v>146.24</v>
      </c>
      <c r="C56" s="40">
        <v>142.84</v>
      </c>
      <c r="D56" s="40">
        <v>146.87</v>
      </c>
      <c r="E56" s="40">
        <v>150.29</v>
      </c>
      <c r="F56" s="40">
        <v>152.81</v>
      </c>
    </row>
    <row r="57" spans="1:6">
      <c r="A57" s="41" t="s">
        <v>71</v>
      </c>
      <c r="B57" s="41">
        <v>138.63999999999999</v>
      </c>
      <c r="C57" s="41">
        <v>142.56</v>
      </c>
      <c r="D57" s="41">
        <v>147.03</v>
      </c>
      <c r="E57" s="41">
        <v>148.53</v>
      </c>
      <c r="F57" s="41">
        <v>150.52000000000001</v>
      </c>
    </row>
    <row r="58" spans="1:6">
      <c r="A58" s="41" t="s">
        <v>76</v>
      </c>
      <c r="B58" s="41">
        <v>115.62</v>
      </c>
      <c r="C58" s="41">
        <v>133.52000000000001</v>
      </c>
      <c r="D58" s="41">
        <v>142.19999999999999</v>
      </c>
      <c r="E58" s="41">
        <v>145.76</v>
      </c>
      <c r="F58" s="41">
        <v>148.47</v>
      </c>
    </row>
    <row r="59" spans="1:6">
      <c r="A59" s="41" t="s">
        <v>147</v>
      </c>
      <c r="B59" s="41">
        <v>166.27</v>
      </c>
      <c r="C59" s="41">
        <v>173</v>
      </c>
      <c r="D59" s="41">
        <v>180.18</v>
      </c>
      <c r="E59" s="41">
        <v>178.79</v>
      </c>
      <c r="F59" s="41">
        <v>174.56</v>
      </c>
    </row>
    <row r="60" spans="1:6">
      <c r="A60" s="41" t="s">
        <v>80</v>
      </c>
      <c r="B60" s="41">
        <v>177.65</v>
      </c>
      <c r="C60" s="41">
        <v>185.44</v>
      </c>
      <c r="D60" s="41">
        <v>188.49</v>
      </c>
      <c r="E60" s="41">
        <v>193.1</v>
      </c>
      <c r="F60" s="41">
        <v>198.24</v>
      </c>
    </row>
    <row r="61" spans="1:6">
      <c r="A61" s="41" t="s">
        <v>81</v>
      </c>
      <c r="B61" s="41">
        <v>136.36000000000001</v>
      </c>
      <c r="C61" s="41">
        <v>140.33000000000001</v>
      </c>
      <c r="D61" s="41">
        <v>143.66999999999999</v>
      </c>
      <c r="E61" s="41">
        <v>145.53</v>
      </c>
      <c r="F61" s="41">
        <v>148.51</v>
      </c>
    </row>
    <row r="62" spans="1:6">
      <c r="A62" s="41" t="s">
        <v>82</v>
      </c>
      <c r="B62" s="41">
        <v>157.58000000000001</v>
      </c>
      <c r="C62" s="41">
        <v>169.58</v>
      </c>
      <c r="D62" s="41">
        <v>176.46</v>
      </c>
      <c r="E62" s="41">
        <v>179.95</v>
      </c>
      <c r="F62" s="41">
        <v>184.85</v>
      </c>
    </row>
    <row r="63" spans="1:6">
      <c r="A63" s="41" t="s">
        <v>83</v>
      </c>
      <c r="B63" s="41">
        <v>152.32</v>
      </c>
      <c r="C63" s="41">
        <v>162.4</v>
      </c>
      <c r="D63" s="41">
        <v>165.89</v>
      </c>
      <c r="E63" s="41">
        <v>167.88</v>
      </c>
      <c r="F63" s="41">
        <v>170.03</v>
      </c>
    </row>
    <row r="64" spans="1:6">
      <c r="A64" s="41" t="s">
        <v>148</v>
      </c>
      <c r="B64" s="41">
        <v>154.22</v>
      </c>
      <c r="C64" s="41">
        <v>161.87</v>
      </c>
      <c r="D64" s="41">
        <v>166.62</v>
      </c>
      <c r="E64" s="41">
        <v>168.72</v>
      </c>
      <c r="F64" s="41">
        <v>171.78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FF"/>
    <outlinePr summaryBelow="0" summaryRight="0"/>
  </sheetPr>
  <dimension ref="A1:F64"/>
  <sheetViews>
    <sheetView workbookViewId="0"/>
  </sheetViews>
  <sheetFormatPr defaultColWidth="12.6640625" defaultRowHeight="15.75" customHeight="1"/>
  <cols>
    <col min="1" max="1" width="54.44140625" customWidth="1"/>
  </cols>
  <sheetData>
    <row r="1" spans="1:6">
      <c r="A1" s="40" t="s">
        <v>11</v>
      </c>
      <c r="B1" s="40">
        <v>2021</v>
      </c>
      <c r="C1" s="40">
        <v>2022</v>
      </c>
      <c r="D1" s="40">
        <v>2023</v>
      </c>
      <c r="E1" s="40" t="s">
        <v>86</v>
      </c>
      <c r="F1" s="40" t="s">
        <v>87</v>
      </c>
    </row>
    <row r="2" spans="1:6">
      <c r="A2" s="41" t="s">
        <v>88</v>
      </c>
      <c r="B2" s="41">
        <v>8.01</v>
      </c>
      <c r="C2" s="41">
        <v>5.22</v>
      </c>
      <c r="D2" s="41">
        <v>4.03</v>
      </c>
      <c r="E2" s="41">
        <v>4.0199999999999996</v>
      </c>
      <c r="F2" s="41">
        <v>6.26</v>
      </c>
    </row>
    <row r="3" spans="1:6">
      <c r="A3" s="40" t="s">
        <v>89</v>
      </c>
      <c r="B3" s="40">
        <v>10.94</v>
      </c>
      <c r="C3" s="40">
        <v>7.19</v>
      </c>
      <c r="D3" s="40">
        <v>5.77</v>
      </c>
      <c r="E3" s="40">
        <v>9.2899999999999991</v>
      </c>
      <c r="F3" s="40">
        <v>9.51</v>
      </c>
    </row>
    <row r="4" spans="1:6">
      <c r="A4" s="40" t="s">
        <v>90</v>
      </c>
      <c r="B4" s="40">
        <v>3.61</v>
      </c>
      <c r="C4" s="40">
        <v>3.21</v>
      </c>
      <c r="D4" s="40">
        <v>3</v>
      </c>
      <c r="E4" s="40">
        <v>3.77</v>
      </c>
      <c r="F4" s="40">
        <v>-1.0900000000000001</v>
      </c>
    </row>
    <row r="5" spans="1:6">
      <c r="A5" s="40" t="s">
        <v>91</v>
      </c>
      <c r="B5" s="40">
        <v>-0.05</v>
      </c>
      <c r="C5" s="40">
        <v>4.58</v>
      </c>
      <c r="D5" s="40">
        <v>3.26</v>
      </c>
      <c r="E5" s="40">
        <v>4.12</v>
      </c>
      <c r="F5" s="40">
        <v>5.77</v>
      </c>
    </row>
    <row r="6" spans="1:6">
      <c r="A6" s="40" t="s">
        <v>92</v>
      </c>
      <c r="B6" s="40">
        <v>17.95</v>
      </c>
      <c r="C6" s="40">
        <v>8.74</v>
      </c>
      <c r="D6" s="40">
        <v>6.15</v>
      </c>
      <c r="E6" s="40">
        <v>13.98</v>
      </c>
      <c r="F6" s="40">
        <v>15.48</v>
      </c>
    </row>
    <row r="7" spans="1:6">
      <c r="A7" s="40" t="s">
        <v>93</v>
      </c>
      <c r="B7" s="40">
        <v>6.2</v>
      </c>
      <c r="C7" s="40">
        <v>6.34</v>
      </c>
      <c r="D7" s="40">
        <v>6.3</v>
      </c>
      <c r="E7" s="40">
        <v>0.4</v>
      </c>
      <c r="F7" s="40">
        <v>1.29</v>
      </c>
    </row>
    <row r="8" spans="1:6">
      <c r="A8" s="40" t="s">
        <v>94</v>
      </c>
      <c r="B8" s="40">
        <v>5.2</v>
      </c>
      <c r="C8" s="40">
        <v>6.13</v>
      </c>
      <c r="D8" s="40">
        <v>4.04</v>
      </c>
      <c r="E8" s="40">
        <v>3.29</v>
      </c>
      <c r="F8" s="40">
        <v>1.37</v>
      </c>
    </row>
    <row r="9" spans="1:6">
      <c r="A9" s="40" t="s">
        <v>95</v>
      </c>
      <c r="B9" s="40">
        <v>-3.57</v>
      </c>
      <c r="C9" s="40">
        <v>4.34</v>
      </c>
      <c r="D9" s="40">
        <v>3.46</v>
      </c>
      <c r="E9" s="40">
        <v>0.93</v>
      </c>
      <c r="F9" s="40">
        <v>0.6</v>
      </c>
    </row>
    <row r="10" spans="1:6">
      <c r="A10" s="40" t="s">
        <v>96</v>
      </c>
      <c r="B10" s="40">
        <v>5.81</v>
      </c>
      <c r="C10" s="40">
        <v>4.07</v>
      </c>
      <c r="D10" s="40">
        <v>3.56</v>
      </c>
      <c r="E10" s="40">
        <v>0.8</v>
      </c>
      <c r="F10" s="40">
        <v>4.28</v>
      </c>
    </row>
    <row r="11" spans="1:6">
      <c r="A11" s="41" t="s">
        <v>53</v>
      </c>
      <c r="B11" s="41">
        <v>23.23</v>
      </c>
      <c r="C11" s="41">
        <v>20.37</v>
      </c>
      <c r="D11" s="41">
        <v>-2.0499999999999998</v>
      </c>
      <c r="E11" s="41">
        <v>0.32</v>
      </c>
      <c r="F11" s="41">
        <v>-3.34</v>
      </c>
    </row>
    <row r="12" spans="1:6">
      <c r="A12" s="40" t="s">
        <v>98</v>
      </c>
      <c r="B12" s="40">
        <v>21.48</v>
      </c>
      <c r="C12" s="40">
        <v>20.75</v>
      </c>
      <c r="D12" s="40">
        <v>-4.68</v>
      </c>
      <c r="E12" s="40">
        <v>-0.14000000000000001</v>
      </c>
      <c r="F12" s="40">
        <v>-3.49</v>
      </c>
    </row>
    <row r="13" spans="1:6">
      <c r="A13" s="40" t="s">
        <v>100</v>
      </c>
      <c r="B13" s="40" t="s">
        <v>102</v>
      </c>
      <c r="C13" s="40" t="s">
        <v>102</v>
      </c>
      <c r="D13" s="40" t="s">
        <v>102</v>
      </c>
      <c r="E13" s="40" t="s">
        <v>102</v>
      </c>
      <c r="F13" s="40" t="s">
        <v>102</v>
      </c>
    </row>
    <row r="14" spans="1:6">
      <c r="A14" s="40" t="s">
        <v>104</v>
      </c>
      <c r="B14" s="40">
        <v>55.03</v>
      </c>
      <c r="C14" s="40">
        <v>22.27</v>
      </c>
      <c r="D14" s="40">
        <v>15.29</v>
      </c>
      <c r="E14" s="40">
        <v>7.13</v>
      </c>
      <c r="F14" s="40">
        <v>1.35</v>
      </c>
    </row>
    <row r="15" spans="1:6">
      <c r="A15" s="40" t="s">
        <v>106</v>
      </c>
      <c r="B15" s="40">
        <v>2.08</v>
      </c>
      <c r="C15" s="40">
        <v>5.19</v>
      </c>
      <c r="D15" s="40">
        <v>3.97</v>
      </c>
      <c r="E15" s="40">
        <v>-1.29</v>
      </c>
      <c r="F15" s="40">
        <v>1.38</v>
      </c>
    </row>
    <row r="16" spans="1:6">
      <c r="A16" s="41" t="s">
        <v>54</v>
      </c>
      <c r="B16" s="41">
        <v>2.88</v>
      </c>
      <c r="C16" s="41">
        <v>4.0599999999999996</v>
      </c>
      <c r="D16" s="41">
        <v>2.97</v>
      </c>
      <c r="E16" s="41">
        <v>0.96</v>
      </c>
      <c r="F16" s="41">
        <v>2.0499999999999998</v>
      </c>
    </row>
    <row r="17" spans="1:6">
      <c r="A17" s="40" t="s">
        <v>108</v>
      </c>
      <c r="B17" s="40" t="s">
        <v>102</v>
      </c>
      <c r="C17" s="40" t="s">
        <v>102</v>
      </c>
      <c r="D17" s="40" t="s">
        <v>102</v>
      </c>
      <c r="E17" s="40" t="s">
        <v>102</v>
      </c>
      <c r="F17" s="40" t="s">
        <v>102</v>
      </c>
    </row>
    <row r="18" spans="1:6">
      <c r="A18" s="40" t="s">
        <v>109</v>
      </c>
      <c r="B18" s="40">
        <v>6.5</v>
      </c>
      <c r="C18" s="40">
        <v>5.37</v>
      </c>
      <c r="D18" s="40">
        <v>3.08</v>
      </c>
      <c r="E18" s="40">
        <v>3.27</v>
      </c>
      <c r="F18" s="40">
        <v>3.44</v>
      </c>
    </row>
    <row r="19" spans="1:6">
      <c r="A19" s="40" t="s">
        <v>110</v>
      </c>
      <c r="B19" s="40">
        <v>2.4</v>
      </c>
      <c r="C19" s="40">
        <v>7.65</v>
      </c>
      <c r="D19" s="40">
        <v>7.16</v>
      </c>
      <c r="E19" s="40">
        <v>6.99</v>
      </c>
      <c r="F19" s="40">
        <v>3.81</v>
      </c>
    </row>
    <row r="20" spans="1:6">
      <c r="A20" s="40" t="s">
        <v>111</v>
      </c>
      <c r="B20" s="40">
        <v>2.15</v>
      </c>
      <c r="C20" s="40">
        <v>3.28</v>
      </c>
      <c r="D20" s="40">
        <v>1.85</v>
      </c>
      <c r="E20" s="40">
        <v>1.95</v>
      </c>
      <c r="F20" s="40">
        <v>1.26</v>
      </c>
    </row>
    <row r="21" spans="1:6">
      <c r="A21" s="40" t="s">
        <v>112</v>
      </c>
      <c r="B21" s="40">
        <v>0.5</v>
      </c>
      <c r="C21" s="40">
        <v>1.93</v>
      </c>
      <c r="D21" s="40">
        <v>0.45</v>
      </c>
      <c r="E21" s="40">
        <v>1.54</v>
      </c>
      <c r="F21" s="40">
        <v>0.9</v>
      </c>
    </row>
    <row r="22" spans="1:6">
      <c r="A22" s="40" t="s">
        <v>113</v>
      </c>
      <c r="B22" s="40">
        <v>1.61</v>
      </c>
      <c r="C22" s="40">
        <v>0.85</v>
      </c>
      <c r="D22" s="40">
        <v>1.92</v>
      </c>
      <c r="E22" s="40">
        <v>1.06</v>
      </c>
      <c r="F22" s="40">
        <v>4.5199999999999996</v>
      </c>
    </row>
    <row r="23" spans="1:6">
      <c r="A23" s="40" t="s">
        <v>114</v>
      </c>
      <c r="B23" s="40">
        <v>0.81</v>
      </c>
      <c r="C23" s="40">
        <v>0.75</v>
      </c>
      <c r="D23" s="40">
        <v>4.3</v>
      </c>
      <c r="E23" s="40">
        <v>1.87</v>
      </c>
      <c r="F23" s="40">
        <v>0.09</v>
      </c>
    </row>
    <row r="24" spans="1:6">
      <c r="A24" s="40" t="s">
        <v>116</v>
      </c>
      <c r="B24" s="40">
        <v>4.2</v>
      </c>
      <c r="C24" s="40">
        <v>6.07</v>
      </c>
      <c r="D24" s="40">
        <v>3.15</v>
      </c>
      <c r="E24" s="40">
        <v>0.88</v>
      </c>
      <c r="F24" s="40">
        <v>2.23</v>
      </c>
    </row>
    <row r="25" spans="1:6">
      <c r="A25" s="40" t="s">
        <v>117</v>
      </c>
      <c r="B25" s="40">
        <v>0.25</v>
      </c>
      <c r="C25" s="40">
        <v>1.93</v>
      </c>
      <c r="D25" s="40">
        <v>0.85</v>
      </c>
      <c r="E25" s="40">
        <v>2.92</v>
      </c>
      <c r="F25" s="40">
        <v>2.87</v>
      </c>
    </row>
    <row r="26" spans="1:6">
      <c r="A26" s="40" t="s">
        <v>118</v>
      </c>
      <c r="B26" s="40">
        <v>1.42</v>
      </c>
      <c r="C26" s="40">
        <v>-3.29</v>
      </c>
      <c r="D26" s="40">
        <v>1.91</v>
      </c>
      <c r="E26" s="40">
        <v>2.0099999999999998</v>
      </c>
      <c r="F26" s="40">
        <v>2.48</v>
      </c>
    </row>
    <row r="27" spans="1:6">
      <c r="A27" s="40" t="s">
        <v>119</v>
      </c>
      <c r="B27" s="40">
        <v>4.12</v>
      </c>
      <c r="C27" s="40">
        <v>14.33</v>
      </c>
      <c r="D27" s="40">
        <v>5.66</v>
      </c>
      <c r="E27" s="40">
        <v>1.52</v>
      </c>
      <c r="F27" s="40">
        <v>4.28</v>
      </c>
    </row>
    <row r="28" spans="1:6">
      <c r="A28" s="40" t="s">
        <v>149</v>
      </c>
      <c r="B28" s="40">
        <v>2.68</v>
      </c>
      <c r="C28" s="40">
        <v>3.59</v>
      </c>
      <c r="D28" s="40">
        <v>3.09</v>
      </c>
      <c r="E28" s="40">
        <v>0.61</v>
      </c>
      <c r="F28" s="40">
        <v>1.72</v>
      </c>
    </row>
    <row r="29" spans="1:6">
      <c r="A29" s="40" t="s">
        <v>122</v>
      </c>
      <c r="B29" s="40">
        <v>1.52</v>
      </c>
      <c r="C29" s="40">
        <v>0.95</v>
      </c>
      <c r="D29" s="40">
        <v>1.63</v>
      </c>
      <c r="E29" s="40">
        <v>1.2</v>
      </c>
      <c r="F29" s="40">
        <v>0.92</v>
      </c>
    </row>
    <row r="30" spans="1:6">
      <c r="A30" s="40" t="s">
        <v>123</v>
      </c>
      <c r="B30" s="40">
        <v>1.97</v>
      </c>
      <c r="C30" s="40">
        <v>5.44</v>
      </c>
      <c r="D30" s="40">
        <v>4</v>
      </c>
      <c r="E30" s="40">
        <v>1.61</v>
      </c>
      <c r="F30" s="40">
        <v>0.89</v>
      </c>
    </row>
    <row r="31" spans="1:6">
      <c r="A31" s="40" t="s">
        <v>124</v>
      </c>
      <c r="B31" s="40">
        <v>2.35</v>
      </c>
      <c r="C31" s="40">
        <v>1.52</v>
      </c>
      <c r="D31" s="40">
        <v>3.14</v>
      </c>
      <c r="E31" s="40">
        <v>2.62</v>
      </c>
      <c r="F31" s="40">
        <v>2.2000000000000002</v>
      </c>
    </row>
    <row r="32" spans="1:6">
      <c r="A32" s="40" t="s">
        <v>126</v>
      </c>
      <c r="B32" s="40">
        <v>-0.16</v>
      </c>
      <c r="C32" s="40">
        <v>1.78</v>
      </c>
      <c r="D32" s="40">
        <v>1.97</v>
      </c>
      <c r="E32" s="40">
        <v>1.56</v>
      </c>
      <c r="F32" s="40">
        <v>3.6</v>
      </c>
    </row>
    <row r="33" spans="1:6">
      <c r="A33" s="41" t="s">
        <v>57</v>
      </c>
      <c r="B33" s="41">
        <v>0.68</v>
      </c>
      <c r="C33" s="41">
        <v>2.59</v>
      </c>
      <c r="D33" s="41">
        <v>0.9</v>
      </c>
      <c r="E33" s="41">
        <v>1.36</v>
      </c>
      <c r="F33" s="41">
        <v>2.12</v>
      </c>
    </row>
    <row r="34" spans="1:6">
      <c r="A34" s="40" t="s">
        <v>127</v>
      </c>
      <c r="B34" s="40">
        <v>-0.04</v>
      </c>
      <c r="C34" s="40">
        <v>1.98</v>
      </c>
      <c r="D34" s="40">
        <v>4.34</v>
      </c>
      <c r="E34" s="40">
        <v>7.92</v>
      </c>
      <c r="F34" s="40">
        <v>4.3099999999999996</v>
      </c>
    </row>
    <row r="35" spans="1:6">
      <c r="A35" s="40" t="s">
        <v>128</v>
      </c>
      <c r="B35" s="40">
        <v>0.44</v>
      </c>
      <c r="C35" s="40">
        <v>2.48</v>
      </c>
      <c r="D35" s="40">
        <v>0.28000000000000003</v>
      </c>
      <c r="E35" s="40">
        <v>0.6</v>
      </c>
      <c r="F35" s="40">
        <v>2.25</v>
      </c>
    </row>
    <row r="36" spans="1:6">
      <c r="A36" s="41" t="s">
        <v>130</v>
      </c>
      <c r="B36" s="41">
        <v>-0.66</v>
      </c>
      <c r="C36" s="41">
        <v>0.62</v>
      </c>
      <c r="D36" s="41">
        <v>0.82</v>
      </c>
      <c r="E36" s="41">
        <v>4.46</v>
      </c>
      <c r="F36" s="41">
        <v>1.37</v>
      </c>
    </row>
    <row r="37" spans="1:6">
      <c r="A37" s="41" t="s">
        <v>60</v>
      </c>
      <c r="B37" s="41">
        <v>2.91</v>
      </c>
      <c r="C37" s="41">
        <v>5.81</v>
      </c>
      <c r="D37" s="41">
        <v>2.66</v>
      </c>
      <c r="E37" s="41">
        <v>0.73</v>
      </c>
      <c r="F37" s="41">
        <v>0.96</v>
      </c>
    </row>
    <row r="38" spans="1:6">
      <c r="A38" s="41" t="s">
        <v>131</v>
      </c>
      <c r="B38" s="41">
        <v>3.13</v>
      </c>
      <c r="C38" s="41">
        <v>6.85</v>
      </c>
      <c r="D38" s="41">
        <v>4.21</v>
      </c>
      <c r="E38" s="41">
        <v>2.35</v>
      </c>
      <c r="F38" s="41">
        <v>2.58</v>
      </c>
    </row>
    <row r="39" spans="1:6">
      <c r="A39" s="40" t="s">
        <v>133</v>
      </c>
      <c r="B39" s="40">
        <v>1.22</v>
      </c>
      <c r="C39" s="40">
        <v>2.19</v>
      </c>
      <c r="D39" s="40">
        <v>2.64</v>
      </c>
      <c r="E39" s="40">
        <v>3.31</v>
      </c>
      <c r="F39" s="40">
        <v>1.99</v>
      </c>
    </row>
    <row r="40" spans="1:6">
      <c r="A40" s="40" t="s">
        <v>134</v>
      </c>
      <c r="B40" s="40">
        <v>3.69</v>
      </c>
      <c r="C40" s="40">
        <v>8.2200000000000006</v>
      </c>
      <c r="D40" s="40">
        <v>4.3600000000000003</v>
      </c>
      <c r="E40" s="40">
        <v>1.99</v>
      </c>
      <c r="F40" s="40">
        <v>2.11</v>
      </c>
    </row>
    <row r="41" spans="1:6">
      <c r="A41" s="41" t="s">
        <v>67</v>
      </c>
      <c r="B41" s="41">
        <v>-5.33</v>
      </c>
      <c r="C41" s="41">
        <v>11.2</v>
      </c>
      <c r="D41" s="41">
        <v>0.04</v>
      </c>
      <c r="E41" s="41">
        <v>3.87</v>
      </c>
      <c r="F41" s="41">
        <v>-0.03</v>
      </c>
    </row>
    <row r="42" spans="1:6">
      <c r="A42" s="40" t="s">
        <v>135</v>
      </c>
      <c r="B42" s="40" t="s">
        <v>102</v>
      </c>
      <c r="C42" s="40" t="s">
        <v>102</v>
      </c>
      <c r="D42" s="40" t="s">
        <v>102</v>
      </c>
      <c r="E42" s="40" t="s">
        <v>102</v>
      </c>
      <c r="F42" s="40" t="s">
        <v>102</v>
      </c>
    </row>
    <row r="43" spans="1:6">
      <c r="A43" s="40" t="s">
        <v>136</v>
      </c>
      <c r="B43" s="40">
        <v>-1.43</v>
      </c>
      <c r="C43" s="40">
        <v>1.79</v>
      </c>
      <c r="D43" s="40">
        <v>4.68</v>
      </c>
      <c r="E43" s="40">
        <v>2.63</v>
      </c>
      <c r="F43" s="40">
        <v>1.27</v>
      </c>
    </row>
    <row r="44" spans="1:6">
      <c r="A44" s="40" t="s">
        <v>137</v>
      </c>
      <c r="B44" s="40">
        <v>-3.56</v>
      </c>
      <c r="C44" s="40">
        <v>2.1800000000000002</v>
      </c>
      <c r="D44" s="40">
        <v>5.88</v>
      </c>
      <c r="E44" s="40">
        <v>2.66</v>
      </c>
      <c r="F44" s="40">
        <v>2.02</v>
      </c>
    </row>
    <row r="45" spans="1:6">
      <c r="A45" s="40" t="s">
        <v>138</v>
      </c>
      <c r="B45" s="40">
        <v>-1.91</v>
      </c>
      <c r="C45" s="40">
        <v>1.06</v>
      </c>
      <c r="D45" s="40">
        <v>5.04</v>
      </c>
      <c r="E45" s="40">
        <v>1.96</v>
      </c>
      <c r="F45" s="40">
        <v>0.62</v>
      </c>
    </row>
    <row r="46" spans="1:6">
      <c r="A46" s="40" t="s">
        <v>139</v>
      </c>
      <c r="B46" s="40">
        <v>-9.2799999999999994</v>
      </c>
      <c r="C46" s="40">
        <v>25.49</v>
      </c>
      <c r="D46" s="40">
        <v>-6.27</v>
      </c>
      <c r="E46" s="40">
        <v>5.87</v>
      </c>
      <c r="F46" s="40">
        <v>-1.93</v>
      </c>
    </row>
    <row r="47" spans="1:6">
      <c r="A47" s="40" t="s">
        <v>140</v>
      </c>
      <c r="B47" s="40">
        <v>1.79</v>
      </c>
      <c r="C47" s="40">
        <v>5.94</v>
      </c>
      <c r="D47" s="40">
        <v>10.23</v>
      </c>
      <c r="E47" s="40">
        <v>-0.15</v>
      </c>
      <c r="F47" s="40">
        <v>0.66</v>
      </c>
    </row>
    <row r="48" spans="1:6">
      <c r="A48" s="41" t="s">
        <v>68</v>
      </c>
      <c r="B48" s="41">
        <v>0.19</v>
      </c>
      <c r="C48" s="41">
        <v>2.8</v>
      </c>
      <c r="D48" s="41">
        <v>1.54</v>
      </c>
      <c r="E48" s="41">
        <v>1.74</v>
      </c>
      <c r="F48" s="41">
        <v>1.55</v>
      </c>
    </row>
    <row r="49" spans="1:6">
      <c r="A49" s="40" t="s">
        <v>141</v>
      </c>
      <c r="B49" s="40">
        <v>-2.52</v>
      </c>
      <c r="C49" s="40">
        <v>2.66</v>
      </c>
      <c r="D49" s="40">
        <v>1.74</v>
      </c>
      <c r="E49" s="40">
        <v>1.36</v>
      </c>
      <c r="F49" s="40">
        <v>1.44</v>
      </c>
    </row>
    <row r="50" spans="1:6">
      <c r="A50" s="40" t="s">
        <v>142</v>
      </c>
      <c r="B50" s="40">
        <v>3.14</v>
      </c>
      <c r="C50" s="40">
        <v>3</v>
      </c>
      <c r="D50" s="40">
        <v>1.47</v>
      </c>
      <c r="E50" s="40">
        <v>2.1800000000000002</v>
      </c>
      <c r="F50" s="40">
        <v>1.58</v>
      </c>
    </row>
    <row r="51" spans="1:6">
      <c r="A51" s="41" t="s">
        <v>69</v>
      </c>
      <c r="B51" s="41">
        <v>-0.38</v>
      </c>
      <c r="C51" s="41">
        <v>0.38</v>
      </c>
      <c r="D51" s="41">
        <v>0.79</v>
      </c>
      <c r="E51" s="41">
        <v>0.64</v>
      </c>
      <c r="F51" s="41">
        <v>-0.28999999999999998</v>
      </c>
    </row>
    <row r="52" spans="1:6">
      <c r="A52" s="41" t="s">
        <v>70</v>
      </c>
      <c r="B52" s="41">
        <v>2.12</v>
      </c>
      <c r="C52" s="41">
        <v>5.53</v>
      </c>
      <c r="D52" s="41">
        <v>2.72</v>
      </c>
      <c r="E52" s="41">
        <v>1.76</v>
      </c>
      <c r="F52" s="41">
        <v>1.87</v>
      </c>
    </row>
    <row r="53" spans="1:6">
      <c r="A53" s="40" t="s">
        <v>143</v>
      </c>
      <c r="B53" s="40">
        <v>5.91</v>
      </c>
      <c r="C53" s="40">
        <v>10</v>
      </c>
      <c r="D53" s="40">
        <v>1.7</v>
      </c>
      <c r="E53" s="40">
        <v>0.88</v>
      </c>
      <c r="F53" s="40">
        <v>2.27</v>
      </c>
    </row>
    <row r="54" spans="1:6">
      <c r="A54" s="40" t="s">
        <v>144</v>
      </c>
      <c r="B54" s="40">
        <v>-2.44</v>
      </c>
      <c r="C54" s="40">
        <v>-0.35</v>
      </c>
      <c r="D54" s="40">
        <v>2.98</v>
      </c>
      <c r="E54" s="40">
        <v>2.21</v>
      </c>
      <c r="F54" s="40">
        <v>0.93</v>
      </c>
    </row>
    <row r="55" spans="1:6">
      <c r="A55" s="40" t="s">
        <v>145</v>
      </c>
      <c r="B55" s="40">
        <v>-0.87</v>
      </c>
      <c r="C55" s="40">
        <v>-3.74</v>
      </c>
      <c r="D55" s="40">
        <v>1.26</v>
      </c>
      <c r="E55" s="40">
        <v>1.55</v>
      </c>
      <c r="F55" s="40">
        <v>1.59</v>
      </c>
    </row>
    <row r="56" spans="1:6">
      <c r="A56" s="40" t="s">
        <v>146</v>
      </c>
      <c r="B56" s="40">
        <v>-0.18</v>
      </c>
      <c r="C56" s="40">
        <v>-2.3199999999999998</v>
      </c>
      <c r="D56" s="40">
        <v>2.82</v>
      </c>
      <c r="E56" s="40">
        <v>2.33</v>
      </c>
      <c r="F56" s="40">
        <v>1.67</v>
      </c>
    </row>
    <row r="57" spans="1:6">
      <c r="A57" s="41" t="s">
        <v>71</v>
      </c>
      <c r="B57" s="41">
        <v>1.27</v>
      </c>
      <c r="C57" s="41">
        <v>2.83</v>
      </c>
      <c r="D57" s="41">
        <v>3.13</v>
      </c>
      <c r="E57" s="41">
        <v>1.02</v>
      </c>
      <c r="F57" s="41">
        <v>1.34</v>
      </c>
    </row>
    <row r="58" spans="1:6">
      <c r="A58" s="41" t="s">
        <v>76</v>
      </c>
      <c r="B58" s="41">
        <v>-0.04</v>
      </c>
      <c r="C58" s="41">
        <v>15.47</v>
      </c>
      <c r="D58" s="41">
        <v>6.5</v>
      </c>
      <c r="E58" s="41">
        <v>2.5099999999999998</v>
      </c>
      <c r="F58" s="41">
        <v>1.86</v>
      </c>
    </row>
    <row r="59" spans="1:6">
      <c r="A59" s="41" t="s">
        <v>147</v>
      </c>
      <c r="B59" s="41">
        <v>-0.46</v>
      </c>
      <c r="C59" s="41">
        <v>4.05</v>
      </c>
      <c r="D59" s="41">
        <v>4.1500000000000004</v>
      </c>
      <c r="E59" s="41">
        <v>-0.77</v>
      </c>
      <c r="F59" s="41">
        <v>-2.37</v>
      </c>
    </row>
    <row r="60" spans="1:6">
      <c r="A60" s="41" t="s">
        <v>80</v>
      </c>
      <c r="B60" s="41">
        <v>3.03</v>
      </c>
      <c r="C60" s="41">
        <v>4.3899999999999997</v>
      </c>
      <c r="D60" s="41">
        <v>1.64</v>
      </c>
      <c r="E60" s="41">
        <v>2.4500000000000002</v>
      </c>
      <c r="F60" s="41">
        <v>2.66</v>
      </c>
    </row>
    <row r="61" spans="1:6">
      <c r="A61" s="41" t="s">
        <v>81</v>
      </c>
      <c r="B61" s="41">
        <v>0.56999999999999995</v>
      </c>
      <c r="C61" s="41">
        <v>2.91</v>
      </c>
      <c r="D61" s="41">
        <v>2.38</v>
      </c>
      <c r="E61" s="41">
        <v>1.3</v>
      </c>
      <c r="F61" s="41">
        <v>2.0499999999999998</v>
      </c>
    </row>
    <row r="62" spans="1:6">
      <c r="A62" s="41" t="s">
        <v>82</v>
      </c>
      <c r="B62" s="41">
        <v>2.14</v>
      </c>
      <c r="C62" s="41">
        <v>7.61</v>
      </c>
      <c r="D62" s="41">
        <v>4.0599999999999996</v>
      </c>
      <c r="E62" s="41">
        <v>1.98</v>
      </c>
      <c r="F62" s="41">
        <v>2.72</v>
      </c>
    </row>
    <row r="63" spans="1:6">
      <c r="A63" s="41" t="s">
        <v>83</v>
      </c>
      <c r="B63" s="41">
        <v>4.88</v>
      </c>
      <c r="C63" s="41">
        <v>6.62</v>
      </c>
      <c r="D63" s="41">
        <v>2.15</v>
      </c>
      <c r="E63" s="41">
        <v>1.19</v>
      </c>
      <c r="F63" s="41">
        <v>1.28</v>
      </c>
    </row>
    <row r="64" spans="1:6">
      <c r="A64" s="41" t="s">
        <v>148</v>
      </c>
      <c r="B64" s="41">
        <v>3.02</v>
      </c>
      <c r="C64" s="41">
        <v>4.96</v>
      </c>
      <c r="D64" s="41">
        <v>2.93</v>
      </c>
      <c r="E64" s="41">
        <v>1.26</v>
      </c>
      <c r="F64" s="41">
        <v>1.81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FF"/>
    <outlinePr summaryBelow="0" summaryRight="0"/>
  </sheetPr>
  <dimension ref="A1:I120"/>
  <sheetViews>
    <sheetView workbookViewId="0"/>
  </sheetViews>
  <sheetFormatPr defaultColWidth="12.6640625" defaultRowHeight="15.75" customHeight="1"/>
  <cols>
    <col min="1" max="1" width="27.33203125" customWidth="1"/>
    <col min="2" max="2" width="3.33203125" customWidth="1"/>
    <col min="3" max="3" width="7.33203125" customWidth="1"/>
    <col min="4" max="4" width="59.109375" customWidth="1"/>
    <col min="5" max="9" width="8.6640625" customWidth="1"/>
  </cols>
  <sheetData>
    <row r="1" spans="1:9">
      <c r="A1" s="37" t="s">
        <v>150</v>
      </c>
      <c r="B1" s="37" t="s">
        <v>0</v>
      </c>
      <c r="C1" s="37" t="s">
        <v>151</v>
      </c>
      <c r="D1" s="37" t="s">
        <v>152</v>
      </c>
      <c r="E1" s="42">
        <v>2021</v>
      </c>
      <c r="F1" s="42">
        <v>2022</v>
      </c>
      <c r="G1" s="42">
        <v>2023</v>
      </c>
      <c r="H1" s="37" t="s">
        <v>86</v>
      </c>
      <c r="I1" s="37" t="s">
        <v>87</v>
      </c>
    </row>
    <row r="2" spans="1:9">
      <c r="A2" s="37" t="s">
        <v>153</v>
      </c>
      <c r="B2" s="42">
        <v>1</v>
      </c>
      <c r="C2" s="37" t="s">
        <v>154</v>
      </c>
      <c r="D2" s="37" t="s">
        <v>155</v>
      </c>
      <c r="E2" s="37">
        <v>1473.45</v>
      </c>
      <c r="F2" s="37">
        <v>1503.41</v>
      </c>
      <c r="G2" s="37">
        <v>1552.78</v>
      </c>
      <c r="H2" s="37">
        <v>1586.94</v>
      </c>
      <c r="I2" s="37">
        <v>1640.89</v>
      </c>
    </row>
    <row r="3" spans="1:9">
      <c r="A3" s="37" t="s">
        <v>153</v>
      </c>
      <c r="B3" s="42">
        <v>2</v>
      </c>
      <c r="C3" s="37" t="s">
        <v>156</v>
      </c>
      <c r="D3" s="37" t="s">
        <v>157</v>
      </c>
      <c r="E3" s="37">
        <v>1010.73</v>
      </c>
      <c r="F3" s="37">
        <v>975.93</v>
      </c>
      <c r="G3" s="37">
        <v>955.9</v>
      </c>
      <c r="H3" s="37">
        <v>936.78</v>
      </c>
      <c r="I3" s="37">
        <v>974.25</v>
      </c>
    </row>
    <row r="4" spans="1:9">
      <c r="A4" s="37" t="s">
        <v>153</v>
      </c>
      <c r="B4" s="42">
        <v>3</v>
      </c>
      <c r="C4" s="37" t="s">
        <v>158</v>
      </c>
      <c r="D4" s="37" t="s">
        <v>159</v>
      </c>
      <c r="E4" s="37">
        <v>1235.0899999999999</v>
      </c>
      <c r="F4" s="37">
        <v>1269.55</v>
      </c>
      <c r="G4" s="37">
        <v>1366.48</v>
      </c>
      <c r="H4" s="37">
        <v>1724.91</v>
      </c>
      <c r="I4" s="37">
        <v>1931.9</v>
      </c>
    </row>
    <row r="5" spans="1:9">
      <c r="A5" s="37" t="s">
        <v>153</v>
      </c>
      <c r="B5" s="42">
        <v>4</v>
      </c>
      <c r="C5" s="37" t="s">
        <v>160</v>
      </c>
      <c r="D5" s="37" t="s">
        <v>161</v>
      </c>
      <c r="E5" s="37">
        <v>28.53</v>
      </c>
      <c r="F5" s="37">
        <v>31.52</v>
      </c>
      <c r="G5" s="37">
        <v>35</v>
      </c>
      <c r="H5" s="37">
        <v>38.369999999999997</v>
      </c>
      <c r="I5" s="37">
        <v>42.2</v>
      </c>
    </row>
    <row r="6" spans="1:9">
      <c r="A6" s="37" t="s">
        <v>153</v>
      </c>
      <c r="B6" s="42">
        <v>5</v>
      </c>
      <c r="C6" s="37" t="s">
        <v>162</v>
      </c>
      <c r="D6" s="37" t="s">
        <v>163</v>
      </c>
      <c r="E6" s="37">
        <v>4.1500000000000004</v>
      </c>
      <c r="F6" s="37">
        <v>4.37</v>
      </c>
      <c r="G6" s="37">
        <v>4.4000000000000004</v>
      </c>
      <c r="H6" s="37">
        <v>4.53</v>
      </c>
      <c r="I6" s="37">
        <v>4.8</v>
      </c>
    </row>
    <row r="7" spans="1:9">
      <c r="A7" s="37" t="s">
        <v>153</v>
      </c>
      <c r="B7" s="42">
        <v>6</v>
      </c>
      <c r="C7" s="37" t="s">
        <v>164</v>
      </c>
      <c r="D7" s="37" t="s">
        <v>165</v>
      </c>
      <c r="E7" s="37">
        <v>1852.57</v>
      </c>
      <c r="F7" s="37">
        <v>1923.17</v>
      </c>
      <c r="G7" s="37">
        <v>1958.48</v>
      </c>
      <c r="H7" s="37">
        <v>2062.2800000000002</v>
      </c>
      <c r="I7" s="37">
        <v>2175.6999999999998</v>
      </c>
    </row>
    <row r="8" spans="1:9">
      <c r="A8" s="37" t="s">
        <v>153</v>
      </c>
      <c r="B8" s="42">
        <v>7</v>
      </c>
      <c r="C8" s="37" t="s">
        <v>166</v>
      </c>
      <c r="D8" s="37" t="s">
        <v>167</v>
      </c>
      <c r="E8" s="37">
        <v>1542.52</v>
      </c>
      <c r="F8" s="37">
        <v>1676.09</v>
      </c>
      <c r="G8" s="37">
        <v>1800.8</v>
      </c>
      <c r="H8" s="37">
        <v>1919.65</v>
      </c>
      <c r="I8" s="37">
        <v>2063.62</v>
      </c>
    </row>
    <row r="9" spans="1:9">
      <c r="A9" s="37" t="s">
        <v>153</v>
      </c>
      <c r="B9" s="42">
        <v>8</v>
      </c>
      <c r="C9" s="37" t="s">
        <v>168</v>
      </c>
      <c r="D9" s="37" t="s">
        <v>169</v>
      </c>
      <c r="E9" s="37">
        <v>232.22</v>
      </c>
      <c r="F9" s="37">
        <v>283.17</v>
      </c>
      <c r="G9" s="37">
        <v>341</v>
      </c>
      <c r="H9" s="37">
        <v>361.46</v>
      </c>
      <c r="I9" s="37">
        <v>388.57</v>
      </c>
    </row>
    <row r="10" spans="1:9">
      <c r="A10" s="37" t="s">
        <v>153</v>
      </c>
      <c r="B10" s="42">
        <v>9</v>
      </c>
      <c r="C10" s="37" t="s">
        <v>170</v>
      </c>
      <c r="D10" s="37" t="s">
        <v>171</v>
      </c>
      <c r="E10" s="37">
        <v>171.54</v>
      </c>
      <c r="F10" s="37">
        <v>219.8</v>
      </c>
      <c r="G10" s="37">
        <v>258.85000000000002</v>
      </c>
      <c r="H10" s="37">
        <v>284.14</v>
      </c>
      <c r="I10" s="37">
        <v>301.19</v>
      </c>
    </row>
    <row r="11" spans="1:9">
      <c r="A11" s="37" t="s">
        <v>153</v>
      </c>
      <c r="B11" s="42">
        <v>10</v>
      </c>
      <c r="C11" s="37" t="s">
        <v>172</v>
      </c>
      <c r="D11" s="37" t="s">
        <v>173</v>
      </c>
      <c r="E11" s="37">
        <v>371.11</v>
      </c>
      <c r="F11" s="37">
        <v>390.39</v>
      </c>
      <c r="G11" s="37">
        <v>486.26</v>
      </c>
      <c r="H11" s="37">
        <v>508.14</v>
      </c>
      <c r="I11" s="37">
        <v>520.84</v>
      </c>
    </row>
    <row r="12" spans="1:9">
      <c r="A12" s="37" t="s">
        <v>153</v>
      </c>
      <c r="B12" s="42">
        <v>11</v>
      </c>
      <c r="C12" s="37" t="s">
        <v>174</v>
      </c>
      <c r="D12" s="37" t="s">
        <v>175</v>
      </c>
      <c r="E12" s="37">
        <v>161.22</v>
      </c>
      <c r="F12" s="37">
        <v>165.06</v>
      </c>
      <c r="G12" s="37">
        <v>177.49</v>
      </c>
      <c r="H12" s="37">
        <v>187.61</v>
      </c>
      <c r="I12" s="37">
        <v>195.3</v>
      </c>
    </row>
    <row r="13" spans="1:9">
      <c r="A13" s="37" t="s">
        <v>153</v>
      </c>
      <c r="B13" s="42">
        <v>12</v>
      </c>
      <c r="C13" s="37" t="s">
        <v>176</v>
      </c>
      <c r="D13" s="37" t="s">
        <v>177</v>
      </c>
      <c r="E13" s="37">
        <v>296.37</v>
      </c>
      <c r="F13" s="37">
        <v>306.63</v>
      </c>
      <c r="G13" s="37">
        <v>318.8</v>
      </c>
      <c r="H13" s="37">
        <v>332.51</v>
      </c>
      <c r="I13" s="37">
        <v>349.14</v>
      </c>
    </row>
    <row r="14" spans="1:9">
      <c r="A14" s="37" t="s">
        <v>153</v>
      </c>
      <c r="B14" s="42">
        <v>13</v>
      </c>
      <c r="C14" s="37" t="s">
        <v>178</v>
      </c>
      <c r="D14" s="37" t="s">
        <v>179</v>
      </c>
      <c r="E14" s="37">
        <v>1.71</v>
      </c>
      <c r="F14" s="37">
        <v>1.84</v>
      </c>
      <c r="G14" s="37">
        <v>2.1</v>
      </c>
      <c r="H14" s="37">
        <v>2.23</v>
      </c>
      <c r="I14" s="37">
        <v>2.4500000000000002</v>
      </c>
    </row>
    <row r="15" spans="1:9">
      <c r="A15" s="37" t="s">
        <v>153</v>
      </c>
      <c r="B15" s="42">
        <v>14</v>
      </c>
      <c r="C15" s="37" t="s">
        <v>180</v>
      </c>
      <c r="D15" s="37" t="s">
        <v>181</v>
      </c>
      <c r="E15" s="37">
        <v>342.16</v>
      </c>
      <c r="F15" s="37">
        <v>349.05</v>
      </c>
      <c r="G15" s="37">
        <v>363.41</v>
      </c>
      <c r="H15" s="37">
        <v>425.3</v>
      </c>
      <c r="I15" s="37">
        <v>421.05</v>
      </c>
    </row>
    <row r="16" spans="1:9">
      <c r="A16" s="37" t="s">
        <v>153</v>
      </c>
      <c r="B16" s="42">
        <v>15</v>
      </c>
      <c r="C16" s="37" t="s">
        <v>182</v>
      </c>
      <c r="D16" s="37" t="s">
        <v>183</v>
      </c>
      <c r="E16" s="37">
        <v>305.36</v>
      </c>
      <c r="F16" s="37">
        <v>313.14</v>
      </c>
      <c r="G16" s="37">
        <v>325.45999999999998</v>
      </c>
      <c r="H16" s="37">
        <v>338.48</v>
      </c>
      <c r="I16" s="37">
        <v>355.4</v>
      </c>
    </row>
    <row r="17" spans="1:9">
      <c r="A17" s="37" t="s">
        <v>153</v>
      </c>
      <c r="B17" s="42">
        <v>16</v>
      </c>
      <c r="C17" s="37" t="s">
        <v>184</v>
      </c>
      <c r="D17" s="37" t="s">
        <v>185</v>
      </c>
      <c r="E17" s="37">
        <v>199.9</v>
      </c>
      <c r="F17" s="37">
        <v>204.88</v>
      </c>
      <c r="G17" s="37">
        <v>186.56</v>
      </c>
      <c r="H17" s="37">
        <v>198.5</v>
      </c>
      <c r="I17" s="37">
        <v>203.46</v>
      </c>
    </row>
    <row r="18" spans="1:9">
      <c r="A18" s="37" t="s">
        <v>153</v>
      </c>
      <c r="B18" s="42">
        <v>17</v>
      </c>
      <c r="C18" s="37" t="s">
        <v>186</v>
      </c>
      <c r="D18" s="37" t="s">
        <v>187</v>
      </c>
      <c r="E18" s="37">
        <v>104.14</v>
      </c>
      <c r="F18" s="37">
        <v>123.86</v>
      </c>
      <c r="G18" s="37">
        <v>143.83000000000001</v>
      </c>
      <c r="H18" s="37">
        <v>161.75</v>
      </c>
      <c r="I18" s="37">
        <v>168.22</v>
      </c>
    </row>
    <row r="19" spans="1:9">
      <c r="A19" s="37" t="s">
        <v>188</v>
      </c>
      <c r="B19" s="42">
        <v>1</v>
      </c>
      <c r="C19" s="37" t="s">
        <v>154</v>
      </c>
      <c r="D19" s="37" t="s">
        <v>155</v>
      </c>
      <c r="E19" s="37">
        <v>933.66</v>
      </c>
      <c r="F19" s="37">
        <v>969.93</v>
      </c>
      <c r="G19" s="37">
        <v>1005.07</v>
      </c>
      <c r="H19" s="37">
        <v>1038.24</v>
      </c>
      <c r="I19" s="37">
        <v>1074.58</v>
      </c>
    </row>
    <row r="20" spans="1:9">
      <c r="A20" s="37" t="s">
        <v>188</v>
      </c>
      <c r="B20" s="42">
        <v>2</v>
      </c>
      <c r="C20" s="37" t="s">
        <v>156</v>
      </c>
      <c r="D20" s="37" t="s">
        <v>157</v>
      </c>
      <c r="E20" s="37">
        <v>667.28</v>
      </c>
      <c r="F20" s="37">
        <v>527.15</v>
      </c>
      <c r="G20" s="37">
        <v>433.89</v>
      </c>
      <c r="H20" s="37">
        <v>381.82</v>
      </c>
      <c r="I20" s="37">
        <v>400.91</v>
      </c>
    </row>
    <row r="21" spans="1:9">
      <c r="A21" s="37" t="s">
        <v>188</v>
      </c>
      <c r="B21" s="42">
        <v>3</v>
      </c>
      <c r="C21" s="37" t="s">
        <v>158</v>
      </c>
      <c r="D21" s="37" t="s">
        <v>159</v>
      </c>
      <c r="E21" s="37">
        <v>5587.47</v>
      </c>
      <c r="F21" s="37">
        <v>5939.18</v>
      </c>
      <c r="G21" s="37">
        <v>6151.09</v>
      </c>
      <c r="H21" s="37">
        <v>7061.45</v>
      </c>
      <c r="I21" s="37">
        <v>7838.21</v>
      </c>
    </row>
    <row r="22" spans="1:9">
      <c r="A22" s="37" t="s">
        <v>188</v>
      </c>
      <c r="B22" s="42">
        <v>4</v>
      </c>
      <c r="C22" s="37" t="s">
        <v>160</v>
      </c>
      <c r="D22" s="37" t="s">
        <v>161</v>
      </c>
      <c r="E22" s="37">
        <v>21.15</v>
      </c>
      <c r="F22" s="37">
        <v>21.84</v>
      </c>
      <c r="G22" s="37">
        <v>23.79</v>
      </c>
      <c r="H22" s="37">
        <v>25.46</v>
      </c>
      <c r="I22" s="37">
        <v>27.88</v>
      </c>
    </row>
    <row r="23" spans="1:9">
      <c r="A23" s="37" t="s">
        <v>188</v>
      </c>
      <c r="B23" s="42">
        <v>5</v>
      </c>
      <c r="C23" s="37" t="s">
        <v>162</v>
      </c>
      <c r="D23" s="37" t="s">
        <v>163</v>
      </c>
      <c r="E23" s="37">
        <v>8.77</v>
      </c>
      <c r="F23" s="37">
        <v>9.09</v>
      </c>
      <c r="G23" s="37">
        <v>9.41</v>
      </c>
      <c r="H23" s="37">
        <v>9.7899999999999991</v>
      </c>
      <c r="I23" s="37">
        <v>10.52</v>
      </c>
    </row>
    <row r="24" spans="1:9">
      <c r="A24" s="37" t="s">
        <v>188</v>
      </c>
      <c r="B24" s="42">
        <v>6</v>
      </c>
      <c r="C24" s="37" t="s">
        <v>164</v>
      </c>
      <c r="D24" s="37" t="s">
        <v>165</v>
      </c>
      <c r="E24" s="37">
        <v>3050.92</v>
      </c>
      <c r="F24" s="37">
        <v>3075.02</v>
      </c>
      <c r="G24" s="37">
        <v>3256.45</v>
      </c>
      <c r="H24" s="37">
        <v>3500.73</v>
      </c>
      <c r="I24" s="37">
        <v>3710.77</v>
      </c>
    </row>
    <row r="25" spans="1:9">
      <c r="A25" s="37" t="s">
        <v>188</v>
      </c>
      <c r="B25" s="42">
        <v>7</v>
      </c>
      <c r="C25" s="37" t="s">
        <v>166</v>
      </c>
      <c r="D25" s="37" t="s">
        <v>167</v>
      </c>
      <c r="E25" s="37">
        <v>1360.79</v>
      </c>
      <c r="F25" s="37">
        <v>1411.65</v>
      </c>
      <c r="G25" s="37">
        <v>1562.75</v>
      </c>
      <c r="H25" s="37">
        <v>1675.27</v>
      </c>
      <c r="I25" s="37">
        <v>1809.3</v>
      </c>
    </row>
    <row r="26" spans="1:9">
      <c r="A26" s="37" t="s">
        <v>188</v>
      </c>
      <c r="B26" s="42">
        <v>8</v>
      </c>
      <c r="C26" s="37" t="s">
        <v>168</v>
      </c>
      <c r="D26" s="37" t="s">
        <v>169</v>
      </c>
      <c r="E26" s="37">
        <v>314.92</v>
      </c>
      <c r="F26" s="37">
        <v>335.24</v>
      </c>
      <c r="G26" s="37">
        <v>423.08</v>
      </c>
      <c r="H26" s="37">
        <v>452.7</v>
      </c>
      <c r="I26" s="37">
        <v>484.39</v>
      </c>
    </row>
    <row r="27" spans="1:9">
      <c r="A27" s="37" t="s">
        <v>188</v>
      </c>
      <c r="B27" s="42">
        <v>9</v>
      </c>
      <c r="C27" s="37" t="s">
        <v>170</v>
      </c>
      <c r="D27" s="37" t="s">
        <v>171</v>
      </c>
      <c r="E27" s="37">
        <v>527.9</v>
      </c>
      <c r="F27" s="37">
        <v>746.48</v>
      </c>
      <c r="G27" s="37">
        <v>989.78</v>
      </c>
      <c r="H27" s="37">
        <v>1073.9100000000001</v>
      </c>
      <c r="I27" s="37">
        <v>1138.3399999999999</v>
      </c>
    </row>
    <row r="28" spans="1:9">
      <c r="A28" s="37" t="s">
        <v>188</v>
      </c>
      <c r="B28" s="42">
        <v>10</v>
      </c>
      <c r="C28" s="37" t="s">
        <v>172</v>
      </c>
      <c r="D28" s="37" t="s">
        <v>173</v>
      </c>
      <c r="E28" s="37">
        <v>222.59</v>
      </c>
      <c r="F28" s="37">
        <v>233.7</v>
      </c>
      <c r="G28" s="37">
        <v>285.55</v>
      </c>
      <c r="H28" s="37">
        <v>308.39</v>
      </c>
      <c r="I28" s="37">
        <v>316.10000000000002</v>
      </c>
    </row>
    <row r="29" spans="1:9">
      <c r="A29" s="37" t="s">
        <v>188</v>
      </c>
      <c r="B29" s="42">
        <v>11</v>
      </c>
      <c r="C29" s="37" t="s">
        <v>174</v>
      </c>
      <c r="D29" s="37" t="s">
        <v>175</v>
      </c>
      <c r="E29" s="37">
        <v>258.95999999999998</v>
      </c>
      <c r="F29" s="37">
        <v>262.94</v>
      </c>
      <c r="G29" s="37">
        <v>275.81</v>
      </c>
      <c r="H29" s="37">
        <v>289.60000000000002</v>
      </c>
      <c r="I29" s="37">
        <v>301.18</v>
      </c>
    </row>
    <row r="30" spans="1:9">
      <c r="A30" s="37" t="s">
        <v>188</v>
      </c>
      <c r="B30" s="42">
        <v>12</v>
      </c>
      <c r="C30" s="37" t="s">
        <v>176</v>
      </c>
      <c r="D30" s="37" t="s">
        <v>177</v>
      </c>
      <c r="E30" s="37">
        <v>180.99</v>
      </c>
      <c r="F30" s="37">
        <v>185.88</v>
      </c>
      <c r="G30" s="37">
        <v>188.95</v>
      </c>
      <c r="H30" s="37">
        <v>198.4</v>
      </c>
      <c r="I30" s="37">
        <v>208.32</v>
      </c>
    </row>
    <row r="31" spans="1:9">
      <c r="A31" s="37" t="s">
        <v>188</v>
      </c>
      <c r="B31" s="42">
        <v>13</v>
      </c>
      <c r="C31" s="37" t="s">
        <v>178</v>
      </c>
      <c r="D31" s="37" t="s">
        <v>179</v>
      </c>
      <c r="E31" s="37">
        <v>0.12</v>
      </c>
      <c r="F31" s="37">
        <v>0.13</v>
      </c>
      <c r="G31" s="37">
        <v>0.15</v>
      </c>
      <c r="H31" s="37">
        <v>0.16</v>
      </c>
      <c r="I31" s="37">
        <v>0.18</v>
      </c>
    </row>
    <row r="32" spans="1:9">
      <c r="A32" s="37" t="s">
        <v>188</v>
      </c>
      <c r="B32" s="42">
        <v>14</v>
      </c>
      <c r="C32" s="37" t="s">
        <v>180</v>
      </c>
      <c r="D32" s="37" t="s">
        <v>181</v>
      </c>
      <c r="E32" s="37">
        <v>347.55</v>
      </c>
      <c r="F32" s="37">
        <v>363.09</v>
      </c>
      <c r="G32" s="37">
        <v>368.38</v>
      </c>
      <c r="H32" s="37">
        <v>434.32</v>
      </c>
      <c r="I32" s="37">
        <v>427.8</v>
      </c>
    </row>
    <row r="33" spans="1:9">
      <c r="A33" s="37" t="s">
        <v>188</v>
      </c>
      <c r="B33" s="42">
        <v>15</v>
      </c>
      <c r="C33" s="37" t="s">
        <v>182</v>
      </c>
      <c r="D33" s="37" t="s">
        <v>183</v>
      </c>
      <c r="E33" s="37">
        <v>268.98</v>
      </c>
      <c r="F33" s="37">
        <v>278.27</v>
      </c>
      <c r="G33" s="37">
        <v>292.64</v>
      </c>
      <c r="H33" s="37">
        <v>304.35000000000002</v>
      </c>
      <c r="I33" s="37">
        <v>319.57</v>
      </c>
    </row>
    <row r="34" spans="1:9">
      <c r="A34" s="37" t="s">
        <v>188</v>
      </c>
      <c r="B34" s="42">
        <v>16</v>
      </c>
      <c r="C34" s="37" t="s">
        <v>184</v>
      </c>
      <c r="D34" s="37" t="s">
        <v>185</v>
      </c>
      <c r="E34" s="37">
        <v>158.56</v>
      </c>
      <c r="F34" s="37">
        <v>166.42</v>
      </c>
      <c r="G34" s="37">
        <v>146.25</v>
      </c>
      <c r="H34" s="37">
        <v>175.5</v>
      </c>
      <c r="I34" s="37">
        <v>180.76</v>
      </c>
    </row>
    <row r="35" spans="1:9">
      <c r="A35" s="37" t="s">
        <v>188</v>
      </c>
      <c r="B35" s="42">
        <v>17</v>
      </c>
      <c r="C35" s="37" t="s">
        <v>186</v>
      </c>
      <c r="D35" s="37" t="s">
        <v>187</v>
      </c>
      <c r="E35" s="37">
        <v>22.86</v>
      </c>
      <c r="F35" s="37">
        <v>25.76</v>
      </c>
      <c r="G35" s="37">
        <v>32.25</v>
      </c>
      <c r="H35" s="37">
        <v>37.5</v>
      </c>
      <c r="I35" s="37">
        <v>39</v>
      </c>
    </row>
    <row r="36" spans="1:9">
      <c r="A36" s="37" t="s">
        <v>189</v>
      </c>
      <c r="B36" s="42">
        <v>1</v>
      </c>
      <c r="C36" s="37" t="s">
        <v>154</v>
      </c>
      <c r="D36" s="37" t="s">
        <v>155</v>
      </c>
      <c r="E36" s="37">
        <v>4232.74</v>
      </c>
      <c r="F36" s="37">
        <v>4443.32</v>
      </c>
      <c r="G36" s="37">
        <v>4511.3100000000004</v>
      </c>
      <c r="H36" s="37">
        <v>4536.87</v>
      </c>
      <c r="I36" s="37">
        <v>4695.66</v>
      </c>
    </row>
    <row r="37" spans="1:9">
      <c r="A37" s="37" t="s">
        <v>189</v>
      </c>
      <c r="B37" s="42">
        <v>2</v>
      </c>
      <c r="C37" s="37" t="s">
        <v>156</v>
      </c>
      <c r="D37" s="37" t="s">
        <v>157</v>
      </c>
      <c r="E37" s="37">
        <v>653.88</v>
      </c>
      <c r="F37" s="37">
        <v>662.38</v>
      </c>
      <c r="G37" s="37">
        <v>644.83000000000004</v>
      </c>
      <c r="H37" s="37">
        <v>594.34</v>
      </c>
      <c r="I37" s="37">
        <v>689.43</v>
      </c>
    </row>
    <row r="38" spans="1:9">
      <c r="A38" s="37" t="s">
        <v>189</v>
      </c>
      <c r="B38" s="42">
        <v>3</v>
      </c>
      <c r="C38" s="37" t="s">
        <v>158</v>
      </c>
      <c r="D38" s="37" t="s">
        <v>159</v>
      </c>
      <c r="E38" s="37">
        <v>373.8</v>
      </c>
      <c r="F38" s="37">
        <v>376.12</v>
      </c>
      <c r="G38" s="37">
        <v>385.37</v>
      </c>
      <c r="H38" s="37">
        <v>415.31</v>
      </c>
      <c r="I38" s="37">
        <v>446.46</v>
      </c>
    </row>
    <row r="39" spans="1:9">
      <c r="A39" s="37" t="s">
        <v>189</v>
      </c>
      <c r="B39" s="42">
        <v>4</v>
      </c>
      <c r="C39" s="37" t="s">
        <v>160</v>
      </c>
      <c r="D39" s="37" t="s">
        <v>161</v>
      </c>
      <c r="E39" s="37">
        <v>41.85</v>
      </c>
      <c r="F39" s="37">
        <v>42.96</v>
      </c>
      <c r="G39" s="37">
        <v>46.41</v>
      </c>
      <c r="H39" s="37">
        <v>49.75</v>
      </c>
      <c r="I39" s="37">
        <v>54.91</v>
      </c>
    </row>
    <row r="40" spans="1:9">
      <c r="A40" s="37" t="s">
        <v>189</v>
      </c>
      <c r="B40" s="42">
        <v>5</v>
      </c>
      <c r="C40" s="37" t="s">
        <v>162</v>
      </c>
      <c r="D40" s="37" t="s">
        <v>163</v>
      </c>
      <c r="E40" s="37">
        <v>3.05</v>
      </c>
      <c r="F40" s="37">
        <v>3.2</v>
      </c>
      <c r="G40" s="37">
        <v>3.34</v>
      </c>
      <c r="H40" s="37">
        <v>3.41</v>
      </c>
      <c r="I40" s="37">
        <v>3.81</v>
      </c>
    </row>
    <row r="41" spans="1:9">
      <c r="A41" s="37" t="s">
        <v>189</v>
      </c>
      <c r="B41" s="42">
        <v>6</v>
      </c>
      <c r="C41" s="37" t="s">
        <v>164</v>
      </c>
      <c r="D41" s="37" t="s">
        <v>165</v>
      </c>
      <c r="E41" s="37">
        <v>3277.67</v>
      </c>
      <c r="F41" s="37">
        <v>3310.87</v>
      </c>
      <c r="G41" s="37">
        <v>3658.18</v>
      </c>
      <c r="H41" s="37">
        <v>3868.53</v>
      </c>
      <c r="I41" s="37">
        <v>4073.56</v>
      </c>
    </row>
    <row r="42" spans="1:9">
      <c r="A42" s="37" t="s">
        <v>189</v>
      </c>
      <c r="B42" s="42">
        <v>7</v>
      </c>
      <c r="C42" s="37" t="s">
        <v>166</v>
      </c>
      <c r="D42" s="37" t="s">
        <v>167</v>
      </c>
      <c r="E42" s="37">
        <v>1359.88</v>
      </c>
      <c r="F42" s="37">
        <v>1515.22</v>
      </c>
      <c r="G42" s="37">
        <v>1604.16</v>
      </c>
      <c r="H42" s="37">
        <v>1693.83</v>
      </c>
      <c r="I42" s="37">
        <v>1821.72</v>
      </c>
    </row>
    <row r="43" spans="1:9">
      <c r="A43" s="37" t="s">
        <v>189</v>
      </c>
      <c r="B43" s="42">
        <v>8</v>
      </c>
      <c r="C43" s="37" t="s">
        <v>168</v>
      </c>
      <c r="D43" s="37" t="s">
        <v>169</v>
      </c>
      <c r="E43" s="37">
        <v>656.09</v>
      </c>
      <c r="F43" s="37">
        <v>710.05</v>
      </c>
      <c r="G43" s="37">
        <v>815.99</v>
      </c>
      <c r="H43" s="37">
        <v>836.47</v>
      </c>
      <c r="I43" s="37">
        <v>896.53</v>
      </c>
    </row>
    <row r="44" spans="1:9">
      <c r="A44" s="37" t="s">
        <v>189</v>
      </c>
      <c r="B44" s="42">
        <v>9</v>
      </c>
      <c r="C44" s="37" t="s">
        <v>170</v>
      </c>
      <c r="D44" s="37" t="s">
        <v>171</v>
      </c>
      <c r="E44" s="37">
        <v>228.48</v>
      </c>
      <c r="F44" s="37">
        <v>257.33999999999997</v>
      </c>
      <c r="G44" s="37">
        <v>327.62</v>
      </c>
      <c r="H44" s="37">
        <v>341.41</v>
      </c>
      <c r="I44" s="37">
        <v>351.21</v>
      </c>
    </row>
    <row r="45" spans="1:9">
      <c r="A45" s="37" t="s">
        <v>189</v>
      </c>
      <c r="B45" s="42">
        <v>10</v>
      </c>
      <c r="C45" s="37" t="s">
        <v>172</v>
      </c>
      <c r="D45" s="37" t="s">
        <v>173</v>
      </c>
      <c r="E45" s="37">
        <v>464.83</v>
      </c>
      <c r="F45" s="37">
        <v>499.27</v>
      </c>
      <c r="G45" s="37">
        <v>598.91999999999996</v>
      </c>
      <c r="H45" s="37">
        <v>598.55999999999995</v>
      </c>
      <c r="I45" s="37">
        <v>582.70000000000005</v>
      </c>
    </row>
    <row r="46" spans="1:9">
      <c r="A46" s="37" t="s">
        <v>189</v>
      </c>
      <c r="B46" s="42">
        <v>11</v>
      </c>
      <c r="C46" s="37" t="s">
        <v>174</v>
      </c>
      <c r="D46" s="37" t="s">
        <v>175</v>
      </c>
      <c r="E46" s="37">
        <v>66.44</v>
      </c>
      <c r="F46" s="37">
        <v>71.37</v>
      </c>
      <c r="G46" s="37">
        <v>77.540000000000006</v>
      </c>
      <c r="H46" s="37">
        <v>83.29</v>
      </c>
      <c r="I46" s="37">
        <v>86.71</v>
      </c>
    </row>
    <row r="47" spans="1:9">
      <c r="A47" s="37" t="s">
        <v>189</v>
      </c>
      <c r="B47" s="42">
        <v>12</v>
      </c>
      <c r="C47" s="37" t="s">
        <v>176</v>
      </c>
      <c r="D47" s="37" t="s">
        <v>177</v>
      </c>
      <c r="E47" s="37">
        <v>305.89</v>
      </c>
      <c r="F47" s="37">
        <v>316.02999999999997</v>
      </c>
      <c r="G47" s="37">
        <v>332.62</v>
      </c>
      <c r="H47" s="37">
        <v>351.21</v>
      </c>
      <c r="I47" s="37">
        <v>371.26</v>
      </c>
    </row>
    <row r="48" spans="1:9">
      <c r="A48" s="37" t="s">
        <v>189</v>
      </c>
      <c r="B48" s="42">
        <v>13</v>
      </c>
      <c r="C48" s="37" t="s">
        <v>178</v>
      </c>
      <c r="D48" s="37" t="s">
        <v>179</v>
      </c>
      <c r="E48" s="37">
        <v>0.08</v>
      </c>
      <c r="F48" s="37">
        <v>0.09</v>
      </c>
      <c r="G48" s="37">
        <v>0.11</v>
      </c>
      <c r="H48" s="37">
        <v>0.12</v>
      </c>
      <c r="I48" s="37">
        <v>0.14000000000000001</v>
      </c>
    </row>
    <row r="49" spans="1:9">
      <c r="A49" s="37" t="s">
        <v>189</v>
      </c>
      <c r="B49" s="42">
        <v>14</v>
      </c>
      <c r="C49" s="37" t="s">
        <v>180</v>
      </c>
      <c r="D49" s="37" t="s">
        <v>181</v>
      </c>
      <c r="E49" s="37">
        <v>862.62</v>
      </c>
      <c r="F49" s="37">
        <v>884.97</v>
      </c>
      <c r="G49" s="37">
        <v>930.37</v>
      </c>
      <c r="H49" s="37">
        <v>1096.53</v>
      </c>
      <c r="I49" s="37">
        <v>1080.52</v>
      </c>
    </row>
    <row r="50" spans="1:9">
      <c r="A50" s="37" t="s">
        <v>189</v>
      </c>
      <c r="B50" s="42">
        <v>15</v>
      </c>
      <c r="C50" s="37" t="s">
        <v>182</v>
      </c>
      <c r="D50" s="37" t="s">
        <v>183</v>
      </c>
      <c r="E50" s="37">
        <v>75.2</v>
      </c>
      <c r="F50" s="37">
        <v>76.650000000000006</v>
      </c>
      <c r="G50" s="37">
        <v>79.62</v>
      </c>
      <c r="H50" s="37">
        <v>82.76</v>
      </c>
      <c r="I50" s="37">
        <v>87.3</v>
      </c>
    </row>
    <row r="51" spans="1:9">
      <c r="A51" s="37" t="s">
        <v>189</v>
      </c>
      <c r="B51" s="42">
        <v>16</v>
      </c>
      <c r="C51" s="37" t="s">
        <v>184</v>
      </c>
      <c r="D51" s="37" t="s">
        <v>185</v>
      </c>
      <c r="E51" s="37">
        <v>134.5</v>
      </c>
      <c r="F51" s="37">
        <v>141.28</v>
      </c>
      <c r="G51" s="37">
        <v>134.47</v>
      </c>
      <c r="H51" s="37">
        <v>160.83000000000001</v>
      </c>
      <c r="I51" s="37">
        <v>165.12</v>
      </c>
    </row>
    <row r="52" spans="1:9">
      <c r="A52" s="37" t="s">
        <v>189</v>
      </c>
      <c r="B52" s="42">
        <v>17</v>
      </c>
      <c r="C52" s="37" t="s">
        <v>186</v>
      </c>
      <c r="D52" s="37" t="s">
        <v>187</v>
      </c>
      <c r="E52" s="37">
        <v>18.57</v>
      </c>
      <c r="F52" s="37">
        <v>27.81</v>
      </c>
      <c r="G52" s="37">
        <v>33.79</v>
      </c>
      <c r="H52" s="37">
        <v>39.18</v>
      </c>
      <c r="I52" s="37">
        <v>39.950000000000003</v>
      </c>
    </row>
    <row r="53" spans="1:9">
      <c r="A53" s="37" t="s">
        <v>190</v>
      </c>
      <c r="B53" s="42">
        <v>1</v>
      </c>
      <c r="C53" s="37" t="s">
        <v>154</v>
      </c>
      <c r="D53" s="37" t="s">
        <v>155</v>
      </c>
      <c r="E53" s="37">
        <v>685.75</v>
      </c>
      <c r="F53" s="37">
        <v>696.17</v>
      </c>
      <c r="G53" s="37">
        <v>710.88</v>
      </c>
      <c r="H53" s="37">
        <v>712.31</v>
      </c>
      <c r="I53" s="37">
        <v>735.83</v>
      </c>
    </row>
    <row r="54" spans="1:9">
      <c r="A54" s="37" t="s">
        <v>190</v>
      </c>
      <c r="B54" s="42">
        <v>2</v>
      </c>
      <c r="C54" s="37" t="s">
        <v>156</v>
      </c>
      <c r="D54" s="37" t="s">
        <v>157</v>
      </c>
      <c r="E54" s="37">
        <v>144.91</v>
      </c>
      <c r="F54" s="37">
        <v>146.56</v>
      </c>
      <c r="G54" s="37">
        <v>148.18</v>
      </c>
      <c r="H54" s="37">
        <v>159.03</v>
      </c>
      <c r="I54" s="37">
        <v>172.55</v>
      </c>
    </row>
    <row r="55" spans="1:9">
      <c r="A55" s="37" t="s">
        <v>190</v>
      </c>
      <c r="B55" s="42">
        <v>3</v>
      </c>
      <c r="C55" s="37" t="s">
        <v>158</v>
      </c>
      <c r="D55" s="37" t="s">
        <v>159</v>
      </c>
      <c r="E55" s="37">
        <v>22.48</v>
      </c>
      <c r="F55" s="37">
        <v>23.14</v>
      </c>
      <c r="G55" s="37">
        <v>23.95</v>
      </c>
      <c r="H55" s="37">
        <v>24.06</v>
      </c>
      <c r="I55" s="37">
        <v>25.5</v>
      </c>
    </row>
    <row r="56" spans="1:9">
      <c r="A56" s="37" t="s">
        <v>190</v>
      </c>
      <c r="B56" s="42">
        <v>4</v>
      </c>
      <c r="C56" s="37" t="s">
        <v>160</v>
      </c>
      <c r="D56" s="37" t="s">
        <v>161</v>
      </c>
      <c r="E56" s="37">
        <v>8.41</v>
      </c>
      <c r="F56" s="37">
        <v>8.73</v>
      </c>
      <c r="G56" s="37">
        <v>9.52</v>
      </c>
      <c r="H56" s="37">
        <v>10.050000000000001</v>
      </c>
      <c r="I56" s="37">
        <v>10.95</v>
      </c>
    </row>
    <row r="57" spans="1:9">
      <c r="A57" s="37" t="s">
        <v>190</v>
      </c>
      <c r="B57" s="42">
        <v>5</v>
      </c>
      <c r="C57" s="37" t="s">
        <v>162</v>
      </c>
      <c r="D57" s="37" t="s">
        <v>163</v>
      </c>
      <c r="E57" s="37">
        <v>0.91</v>
      </c>
      <c r="F57" s="37">
        <v>0.96</v>
      </c>
      <c r="G57" s="37">
        <v>0.98</v>
      </c>
      <c r="H57" s="37">
        <v>0.99</v>
      </c>
      <c r="I57" s="37">
        <v>1.08</v>
      </c>
    </row>
    <row r="58" spans="1:9">
      <c r="A58" s="37" t="s">
        <v>190</v>
      </c>
      <c r="B58" s="42">
        <v>6</v>
      </c>
      <c r="C58" s="37" t="s">
        <v>164</v>
      </c>
      <c r="D58" s="37" t="s">
        <v>165</v>
      </c>
      <c r="E58" s="37">
        <v>598.33000000000004</v>
      </c>
      <c r="F58" s="37">
        <v>628.85</v>
      </c>
      <c r="G58" s="37">
        <v>648.59</v>
      </c>
      <c r="H58" s="37">
        <v>684.06</v>
      </c>
      <c r="I58" s="37">
        <v>725.1</v>
      </c>
    </row>
    <row r="59" spans="1:9">
      <c r="A59" s="37" t="s">
        <v>190</v>
      </c>
      <c r="B59" s="42">
        <v>7</v>
      </c>
      <c r="C59" s="37" t="s">
        <v>166</v>
      </c>
      <c r="D59" s="37" t="s">
        <v>167</v>
      </c>
      <c r="E59" s="37">
        <v>630.42999999999995</v>
      </c>
      <c r="F59" s="37">
        <v>661.57</v>
      </c>
      <c r="G59" s="37">
        <v>692.33</v>
      </c>
      <c r="H59" s="37">
        <v>743.67</v>
      </c>
      <c r="I59" s="37">
        <v>803.16</v>
      </c>
    </row>
    <row r="60" spans="1:9">
      <c r="A60" s="37" t="s">
        <v>190</v>
      </c>
      <c r="B60" s="42">
        <v>8</v>
      </c>
      <c r="C60" s="37" t="s">
        <v>168</v>
      </c>
      <c r="D60" s="37" t="s">
        <v>169</v>
      </c>
      <c r="E60" s="37">
        <v>38.32</v>
      </c>
      <c r="F60" s="37">
        <v>42.63</v>
      </c>
      <c r="G60" s="37">
        <v>50.67</v>
      </c>
      <c r="H60" s="37">
        <v>53.64</v>
      </c>
      <c r="I60" s="37">
        <v>57.93</v>
      </c>
    </row>
    <row r="61" spans="1:9">
      <c r="A61" s="37" t="s">
        <v>190</v>
      </c>
      <c r="B61" s="42">
        <v>9</v>
      </c>
      <c r="C61" s="37" t="s">
        <v>170</v>
      </c>
      <c r="D61" s="37" t="s">
        <v>171</v>
      </c>
      <c r="E61" s="37">
        <v>67.959999999999994</v>
      </c>
      <c r="F61" s="37">
        <v>73.78</v>
      </c>
      <c r="G61" s="37">
        <v>88.75</v>
      </c>
      <c r="H61" s="37">
        <v>99.25</v>
      </c>
      <c r="I61" s="37">
        <v>105.21</v>
      </c>
    </row>
    <row r="62" spans="1:9">
      <c r="A62" s="37" t="s">
        <v>190</v>
      </c>
      <c r="B62" s="42">
        <v>10</v>
      </c>
      <c r="C62" s="37" t="s">
        <v>172</v>
      </c>
      <c r="D62" s="37" t="s">
        <v>173</v>
      </c>
      <c r="E62" s="37">
        <v>123.17</v>
      </c>
      <c r="F62" s="37">
        <v>128.65</v>
      </c>
      <c r="G62" s="37">
        <v>153.44999999999999</v>
      </c>
      <c r="H62" s="37">
        <v>155.25</v>
      </c>
      <c r="I62" s="37">
        <v>158.36000000000001</v>
      </c>
    </row>
    <row r="63" spans="1:9">
      <c r="A63" s="37" t="s">
        <v>190</v>
      </c>
      <c r="B63" s="42">
        <v>11</v>
      </c>
      <c r="C63" s="37" t="s">
        <v>174</v>
      </c>
      <c r="D63" s="37" t="s">
        <v>175</v>
      </c>
      <c r="E63" s="37">
        <v>26.42</v>
      </c>
      <c r="F63" s="37">
        <v>27.01</v>
      </c>
      <c r="G63" s="37">
        <v>28.71</v>
      </c>
      <c r="H63" s="37">
        <v>29.37</v>
      </c>
      <c r="I63" s="37">
        <v>30.54</v>
      </c>
    </row>
    <row r="64" spans="1:9">
      <c r="A64" s="37" t="s">
        <v>190</v>
      </c>
      <c r="B64" s="42">
        <v>12</v>
      </c>
      <c r="C64" s="37" t="s">
        <v>176</v>
      </c>
      <c r="D64" s="37" t="s">
        <v>177</v>
      </c>
      <c r="E64" s="37">
        <v>77.489999999999995</v>
      </c>
      <c r="F64" s="37">
        <v>80.8</v>
      </c>
      <c r="G64" s="37">
        <v>80.819999999999993</v>
      </c>
      <c r="H64" s="37">
        <v>84.29</v>
      </c>
      <c r="I64" s="37">
        <v>88.5</v>
      </c>
    </row>
    <row r="65" spans="1:9">
      <c r="A65" s="37" t="s">
        <v>190</v>
      </c>
      <c r="B65" s="42">
        <v>13</v>
      </c>
      <c r="C65" s="37" t="s">
        <v>178</v>
      </c>
      <c r="D65" s="37" t="s">
        <v>179</v>
      </c>
      <c r="E65" s="37">
        <v>0.03</v>
      </c>
      <c r="F65" s="37">
        <v>0.03</v>
      </c>
      <c r="G65" s="37">
        <v>0.03</v>
      </c>
      <c r="H65" s="37">
        <v>0.03</v>
      </c>
      <c r="I65" s="37">
        <v>0.04</v>
      </c>
    </row>
    <row r="66" spans="1:9">
      <c r="A66" s="37" t="s">
        <v>190</v>
      </c>
      <c r="B66" s="42">
        <v>14</v>
      </c>
      <c r="C66" s="37" t="s">
        <v>180</v>
      </c>
      <c r="D66" s="37" t="s">
        <v>181</v>
      </c>
      <c r="E66" s="37">
        <v>225.72</v>
      </c>
      <c r="F66" s="37">
        <v>232.99</v>
      </c>
      <c r="G66" s="37">
        <v>240.05</v>
      </c>
      <c r="H66" s="37">
        <v>257.95</v>
      </c>
      <c r="I66" s="37">
        <v>256.66000000000003</v>
      </c>
    </row>
    <row r="67" spans="1:9">
      <c r="A67" s="37" t="s">
        <v>190</v>
      </c>
      <c r="B67" s="42">
        <v>15</v>
      </c>
      <c r="C67" s="37" t="s">
        <v>182</v>
      </c>
      <c r="D67" s="37" t="s">
        <v>183</v>
      </c>
      <c r="E67" s="37">
        <v>203.08</v>
      </c>
      <c r="F67" s="37">
        <v>208.01</v>
      </c>
      <c r="G67" s="37">
        <v>215.93</v>
      </c>
      <c r="H67" s="37">
        <v>218.3</v>
      </c>
      <c r="I67" s="37">
        <v>227.03</v>
      </c>
    </row>
    <row r="68" spans="1:9">
      <c r="A68" s="37" t="s">
        <v>190</v>
      </c>
      <c r="B68" s="42">
        <v>16</v>
      </c>
      <c r="C68" s="37" t="s">
        <v>184</v>
      </c>
      <c r="D68" s="37" t="s">
        <v>185</v>
      </c>
      <c r="E68" s="37">
        <v>97.09</v>
      </c>
      <c r="F68" s="37">
        <v>100.75</v>
      </c>
      <c r="G68" s="37">
        <v>100.24</v>
      </c>
      <c r="H68" s="37">
        <v>101.75</v>
      </c>
      <c r="I68" s="37">
        <v>104.8</v>
      </c>
    </row>
    <row r="69" spans="1:9">
      <c r="A69" s="37" t="s">
        <v>190</v>
      </c>
      <c r="B69" s="42">
        <v>17</v>
      </c>
      <c r="C69" s="37" t="s">
        <v>186</v>
      </c>
      <c r="D69" s="37" t="s">
        <v>187</v>
      </c>
      <c r="E69" s="37">
        <v>21.09</v>
      </c>
      <c r="F69" s="37">
        <v>22.18</v>
      </c>
      <c r="G69" s="37">
        <v>22.31</v>
      </c>
      <c r="H69" s="37">
        <v>23.6</v>
      </c>
      <c r="I69" s="37">
        <v>24.54</v>
      </c>
    </row>
    <row r="70" spans="1:9">
      <c r="A70" s="37" t="s">
        <v>196</v>
      </c>
      <c r="B70" s="42">
        <v>1</v>
      </c>
      <c r="C70" s="37" t="s">
        <v>154</v>
      </c>
      <c r="D70" s="37" t="s">
        <v>155</v>
      </c>
      <c r="E70" s="37">
        <v>634.70000000000005</v>
      </c>
      <c r="F70" s="37">
        <v>645.37</v>
      </c>
      <c r="G70" s="37">
        <v>655.25</v>
      </c>
      <c r="H70" s="37">
        <v>658.98</v>
      </c>
      <c r="I70" s="37">
        <v>681.98</v>
      </c>
    </row>
    <row r="71" spans="1:9">
      <c r="A71" s="37" t="s">
        <v>196</v>
      </c>
      <c r="B71" s="42">
        <v>2</v>
      </c>
      <c r="C71" s="37" t="s">
        <v>156</v>
      </c>
      <c r="D71" s="37" t="s">
        <v>157</v>
      </c>
      <c r="E71" s="37">
        <v>9056.2800000000007</v>
      </c>
      <c r="F71" s="37">
        <v>8991.52</v>
      </c>
      <c r="G71" s="37">
        <v>8950</v>
      </c>
      <c r="H71" s="37">
        <v>8900</v>
      </c>
      <c r="I71" s="37">
        <v>8950</v>
      </c>
    </row>
    <row r="72" spans="1:9">
      <c r="A72" s="37" t="s">
        <v>196</v>
      </c>
      <c r="B72" s="42">
        <v>3</v>
      </c>
      <c r="C72" s="37" t="s">
        <v>158</v>
      </c>
      <c r="D72" s="37" t="s">
        <v>159</v>
      </c>
      <c r="E72" s="37">
        <v>16.079999999999998</v>
      </c>
      <c r="F72" s="37">
        <v>16.579999999999998</v>
      </c>
      <c r="G72" s="37">
        <v>16.989999999999998</v>
      </c>
      <c r="H72" s="37">
        <v>18.309999999999999</v>
      </c>
      <c r="I72" s="37">
        <v>19.68</v>
      </c>
    </row>
    <row r="73" spans="1:9">
      <c r="A73" s="37" t="s">
        <v>196</v>
      </c>
      <c r="B73" s="42">
        <v>4</v>
      </c>
      <c r="C73" s="37" t="s">
        <v>160</v>
      </c>
      <c r="D73" s="37" t="s">
        <v>161</v>
      </c>
      <c r="E73" s="37">
        <v>6.7</v>
      </c>
      <c r="F73" s="37">
        <v>6.89</v>
      </c>
      <c r="G73" s="37">
        <v>7.44</v>
      </c>
      <c r="H73" s="37">
        <v>7.98</v>
      </c>
      <c r="I73" s="37">
        <v>8.81</v>
      </c>
    </row>
    <row r="74" spans="1:9">
      <c r="A74" s="37" t="s">
        <v>196</v>
      </c>
      <c r="B74" s="42">
        <v>5</v>
      </c>
      <c r="C74" s="37" t="s">
        <v>162</v>
      </c>
      <c r="D74" s="37" t="s">
        <v>163</v>
      </c>
      <c r="E74" s="37">
        <v>0.32</v>
      </c>
      <c r="F74" s="37">
        <v>0.34</v>
      </c>
      <c r="G74" s="37">
        <v>0.35</v>
      </c>
      <c r="H74" s="37">
        <v>0.36</v>
      </c>
      <c r="I74" s="37">
        <v>0.4</v>
      </c>
    </row>
    <row r="75" spans="1:9">
      <c r="A75" s="37" t="s">
        <v>196</v>
      </c>
      <c r="B75" s="42">
        <v>6</v>
      </c>
      <c r="C75" s="37" t="s">
        <v>164</v>
      </c>
      <c r="D75" s="37" t="s">
        <v>165</v>
      </c>
      <c r="E75" s="37">
        <v>667.75</v>
      </c>
      <c r="F75" s="37">
        <v>686.89</v>
      </c>
      <c r="G75" s="37">
        <v>758.94</v>
      </c>
      <c r="H75" s="37">
        <v>802.58</v>
      </c>
      <c r="I75" s="37">
        <v>845.12</v>
      </c>
    </row>
    <row r="76" spans="1:9">
      <c r="A76" s="37" t="s">
        <v>196</v>
      </c>
      <c r="B76" s="42">
        <v>7</v>
      </c>
      <c r="C76" s="37" t="s">
        <v>166</v>
      </c>
      <c r="D76" s="37" t="s">
        <v>167</v>
      </c>
      <c r="E76" s="37">
        <v>262.87</v>
      </c>
      <c r="F76" s="37">
        <v>289.56</v>
      </c>
      <c r="G76" s="37">
        <v>306.56</v>
      </c>
      <c r="H76" s="37">
        <v>323.69</v>
      </c>
      <c r="I76" s="37">
        <v>348.13</v>
      </c>
    </row>
    <row r="77" spans="1:9">
      <c r="A77" s="37" t="s">
        <v>196</v>
      </c>
      <c r="B77" s="42">
        <v>8</v>
      </c>
      <c r="C77" s="37" t="s">
        <v>168</v>
      </c>
      <c r="D77" s="37" t="s">
        <v>169</v>
      </c>
      <c r="E77" s="37">
        <v>14.27</v>
      </c>
      <c r="F77" s="37">
        <v>15.76</v>
      </c>
      <c r="G77" s="37">
        <v>18.11</v>
      </c>
      <c r="H77" s="37">
        <v>18.57</v>
      </c>
      <c r="I77" s="37">
        <v>19.899999999999999</v>
      </c>
    </row>
    <row r="78" spans="1:9">
      <c r="A78" s="37" t="s">
        <v>196</v>
      </c>
      <c r="B78" s="42">
        <v>9</v>
      </c>
      <c r="C78" s="37" t="s">
        <v>170</v>
      </c>
      <c r="D78" s="37" t="s">
        <v>171</v>
      </c>
      <c r="E78" s="37">
        <v>11.64</v>
      </c>
      <c r="F78" s="37">
        <v>12.91</v>
      </c>
      <c r="G78" s="37">
        <v>16.440000000000001</v>
      </c>
      <c r="H78" s="37">
        <v>17.13</v>
      </c>
      <c r="I78" s="37">
        <v>17.62</v>
      </c>
    </row>
    <row r="79" spans="1:9">
      <c r="A79" s="37" t="s">
        <v>196</v>
      </c>
      <c r="B79" s="42">
        <v>10</v>
      </c>
      <c r="C79" s="37" t="s">
        <v>172</v>
      </c>
      <c r="D79" s="37" t="s">
        <v>173</v>
      </c>
      <c r="E79" s="37">
        <v>66.7</v>
      </c>
      <c r="F79" s="37">
        <v>68.81</v>
      </c>
      <c r="G79" s="37">
        <v>82.54</v>
      </c>
      <c r="H79" s="37">
        <v>82.49</v>
      </c>
      <c r="I79" s="37">
        <v>80.3</v>
      </c>
    </row>
    <row r="80" spans="1:9">
      <c r="A80" s="37" t="s">
        <v>196</v>
      </c>
      <c r="B80" s="42">
        <v>11</v>
      </c>
      <c r="C80" s="37" t="s">
        <v>174</v>
      </c>
      <c r="D80" s="37" t="s">
        <v>175</v>
      </c>
      <c r="E80" s="37">
        <v>16.649999999999999</v>
      </c>
      <c r="F80" s="37">
        <v>16.86</v>
      </c>
      <c r="G80" s="37">
        <v>18.32</v>
      </c>
      <c r="H80" s="37">
        <v>19.68</v>
      </c>
      <c r="I80" s="37">
        <v>20.49</v>
      </c>
    </row>
    <row r="81" spans="1:9">
      <c r="A81" s="37" t="s">
        <v>196</v>
      </c>
      <c r="B81" s="42">
        <v>12</v>
      </c>
      <c r="C81" s="37" t="s">
        <v>176</v>
      </c>
      <c r="D81" s="37" t="s">
        <v>177</v>
      </c>
      <c r="E81" s="37">
        <v>73.989999999999995</v>
      </c>
      <c r="F81" s="37">
        <v>76.349999999999994</v>
      </c>
      <c r="G81" s="37">
        <v>80.36</v>
      </c>
      <c r="H81" s="37">
        <v>84.85</v>
      </c>
      <c r="I81" s="37">
        <v>89.7</v>
      </c>
    </row>
    <row r="82" spans="1:9">
      <c r="A82" s="37" t="s">
        <v>196</v>
      </c>
      <c r="B82" s="42">
        <v>13</v>
      </c>
      <c r="C82" s="37" t="s">
        <v>178</v>
      </c>
      <c r="D82" s="37" t="s">
        <v>179</v>
      </c>
      <c r="E82" s="37">
        <v>0.02</v>
      </c>
      <c r="F82" s="37">
        <v>0.02</v>
      </c>
      <c r="G82" s="37">
        <v>0.02</v>
      </c>
      <c r="H82" s="37">
        <v>0.02</v>
      </c>
      <c r="I82" s="37">
        <v>0.03</v>
      </c>
    </row>
    <row r="83" spans="1:9">
      <c r="A83" s="37" t="s">
        <v>196</v>
      </c>
      <c r="B83" s="42">
        <v>14</v>
      </c>
      <c r="C83" s="37" t="s">
        <v>180</v>
      </c>
      <c r="D83" s="37" t="s">
        <v>181</v>
      </c>
      <c r="E83" s="37">
        <v>223.73</v>
      </c>
      <c r="F83" s="37">
        <v>230.61</v>
      </c>
      <c r="G83" s="37">
        <v>242.44</v>
      </c>
      <c r="H83" s="37">
        <v>285.74</v>
      </c>
      <c r="I83" s="37">
        <v>281.57</v>
      </c>
    </row>
    <row r="84" spans="1:9">
      <c r="A84" s="37" t="s">
        <v>196</v>
      </c>
      <c r="B84" s="42">
        <v>15</v>
      </c>
      <c r="C84" s="37" t="s">
        <v>182</v>
      </c>
      <c r="D84" s="37" t="s">
        <v>183</v>
      </c>
      <c r="E84" s="37">
        <v>23.29</v>
      </c>
      <c r="F84" s="37">
        <v>24.19</v>
      </c>
      <c r="G84" s="37">
        <v>25.13</v>
      </c>
      <c r="H84" s="37">
        <v>26.12</v>
      </c>
      <c r="I84" s="37">
        <v>27.55</v>
      </c>
    </row>
    <row r="85" spans="1:9">
      <c r="A85" s="37" t="s">
        <v>196</v>
      </c>
      <c r="B85" s="42">
        <v>16</v>
      </c>
      <c r="C85" s="37" t="s">
        <v>184</v>
      </c>
      <c r="D85" s="37" t="s">
        <v>185</v>
      </c>
      <c r="E85" s="37">
        <v>26.41</v>
      </c>
      <c r="F85" s="37">
        <v>27.85</v>
      </c>
      <c r="G85" s="37">
        <v>26.51</v>
      </c>
      <c r="H85" s="37">
        <v>31.71</v>
      </c>
      <c r="I85" s="37">
        <v>32.549999999999997</v>
      </c>
    </row>
    <row r="86" spans="1:9">
      <c r="A86" s="37" t="s">
        <v>196</v>
      </c>
      <c r="B86" s="42">
        <v>17</v>
      </c>
      <c r="C86" s="37" t="s">
        <v>186</v>
      </c>
      <c r="D86" s="37" t="s">
        <v>187</v>
      </c>
      <c r="E86" s="37">
        <v>7.09</v>
      </c>
      <c r="F86" s="37">
        <v>7.7</v>
      </c>
      <c r="G86" s="37">
        <v>9.36</v>
      </c>
      <c r="H86" s="37">
        <v>10.85</v>
      </c>
      <c r="I86" s="37">
        <v>11.06</v>
      </c>
    </row>
    <row r="87" spans="1:9">
      <c r="A87" s="37" t="s">
        <v>269</v>
      </c>
      <c r="B87" s="42">
        <v>1</v>
      </c>
      <c r="C87" s="37" t="s">
        <v>154</v>
      </c>
      <c r="D87" s="37" t="s">
        <v>155</v>
      </c>
      <c r="E87" s="37">
        <v>1107.0899999999999</v>
      </c>
      <c r="F87" s="37">
        <v>1156.74</v>
      </c>
      <c r="G87" s="37">
        <v>1174.44</v>
      </c>
      <c r="H87" s="37">
        <v>1181.1300000000001</v>
      </c>
      <c r="I87" s="37">
        <v>1222.3499999999999</v>
      </c>
    </row>
    <row r="88" spans="1:9">
      <c r="A88" s="37" t="s">
        <v>269</v>
      </c>
      <c r="B88" s="42">
        <v>2</v>
      </c>
      <c r="C88" s="37" t="s">
        <v>156</v>
      </c>
      <c r="D88" s="37" t="s">
        <v>157</v>
      </c>
      <c r="E88" s="37">
        <v>73.2</v>
      </c>
      <c r="F88" s="37">
        <v>77.86</v>
      </c>
      <c r="G88" s="37">
        <v>75.8</v>
      </c>
      <c r="H88" s="37">
        <v>69.86</v>
      </c>
      <c r="I88" s="37">
        <v>81.05</v>
      </c>
    </row>
    <row r="89" spans="1:9">
      <c r="A89" s="37" t="s">
        <v>269</v>
      </c>
      <c r="B89" s="42">
        <v>3</v>
      </c>
      <c r="C89" s="37" t="s">
        <v>158</v>
      </c>
      <c r="D89" s="37" t="s">
        <v>159</v>
      </c>
      <c r="E89" s="37">
        <v>64672.84</v>
      </c>
      <c r="F89" s="37">
        <v>68824.75</v>
      </c>
      <c r="G89" s="37">
        <v>71613.45</v>
      </c>
      <c r="H89" s="37">
        <v>77014.210000000006</v>
      </c>
      <c r="I89" s="37">
        <v>82805.679999999993</v>
      </c>
    </row>
    <row r="90" spans="1:9">
      <c r="A90" s="37" t="s">
        <v>269</v>
      </c>
      <c r="B90" s="42">
        <v>4</v>
      </c>
      <c r="C90" s="37" t="s">
        <v>160</v>
      </c>
      <c r="D90" s="37" t="s">
        <v>161</v>
      </c>
      <c r="E90" s="37">
        <v>1506.71</v>
      </c>
      <c r="F90" s="37">
        <v>1745.97</v>
      </c>
      <c r="G90" s="37">
        <v>1886.17</v>
      </c>
      <c r="H90" s="37">
        <v>2021.97</v>
      </c>
      <c r="I90" s="37">
        <v>2231.65</v>
      </c>
    </row>
    <row r="91" spans="1:9">
      <c r="A91" s="37" t="s">
        <v>269</v>
      </c>
      <c r="B91" s="42">
        <v>5</v>
      </c>
      <c r="C91" s="37" t="s">
        <v>162</v>
      </c>
      <c r="D91" s="37" t="s">
        <v>163</v>
      </c>
      <c r="E91" s="37">
        <v>210.75</v>
      </c>
      <c r="F91" s="37">
        <v>219.33</v>
      </c>
      <c r="G91" s="37">
        <v>229.09</v>
      </c>
      <c r="H91" s="37">
        <v>233.63</v>
      </c>
      <c r="I91" s="37">
        <v>260.95999999999998</v>
      </c>
    </row>
    <row r="92" spans="1:9">
      <c r="A92" s="37" t="s">
        <v>269</v>
      </c>
      <c r="B92" s="42">
        <v>6</v>
      </c>
      <c r="C92" s="37" t="s">
        <v>164</v>
      </c>
      <c r="D92" s="37" t="s">
        <v>165</v>
      </c>
      <c r="E92" s="37">
        <v>21880.62</v>
      </c>
      <c r="F92" s="37">
        <v>22840.39</v>
      </c>
      <c r="G92" s="37">
        <v>25236.35</v>
      </c>
      <c r="H92" s="37">
        <v>27659</v>
      </c>
      <c r="I92" s="37">
        <v>29124.93</v>
      </c>
    </row>
    <row r="93" spans="1:9">
      <c r="A93" s="37" t="s">
        <v>269</v>
      </c>
      <c r="B93" s="42">
        <v>7</v>
      </c>
      <c r="C93" s="37" t="s">
        <v>166</v>
      </c>
      <c r="D93" s="37" t="s">
        <v>167</v>
      </c>
      <c r="E93" s="37">
        <v>6219.69</v>
      </c>
      <c r="F93" s="37">
        <v>6657.45</v>
      </c>
      <c r="G93" s="37">
        <v>7520.12</v>
      </c>
      <c r="H93" s="37">
        <v>8578.2000000000007</v>
      </c>
      <c r="I93" s="37">
        <v>9225.89</v>
      </c>
    </row>
    <row r="94" spans="1:9">
      <c r="A94" s="37" t="s">
        <v>269</v>
      </c>
      <c r="B94" s="42">
        <v>8</v>
      </c>
      <c r="C94" s="37" t="s">
        <v>168</v>
      </c>
      <c r="D94" s="37" t="s">
        <v>169</v>
      </c>
      <c r="E94" s="37">
        <v>1276.5</v>
      </c>
      <c r="F94" s="37">
        <v>1871.81</v>
      </c>
      <c r="G94" s="37">
        <v>2151.08</v>
      </c>
      <c r="H94" s="37">
        <v>2205.0700000000002</v>
      </c>
      <c r="I94" s="37">
        <v>2363.39</v>
      </c>
    </row>
    <row r="95" spans="1:9">
      <c r="A95" s="37" t="s">
        <v>269</v>
      </c>
      <c r="B95" s="42">
        <v>9</v>
      </c>
      <c r="C95" s="37" t="s">
        <v>170</v>
      </c>
      <c r="D95" s="37" t="s">
        <v>171</v>
      </c>
      <c r="E95" s="37">
        <v>1423.41</v>
      </c>
      <c r="F95" s="37">
        <v>2117.71</v>
      </c>
      <c r="G95" s="37">
        <v>2696.06</v>
      </c>
      <c r="H95" s="37">
        <v>2809.56</v>
      </c>
      <c r="I95" s="37">
        <v>2890.19</v>
      </c>
    </row>
    <row r="96" spans="1:9">
      <c r="A96" s="37" t="s">
        <v>269</v>
      </c>
      <c r="B96" s="42">
        <v>10</v>
      </c>
      <c r="C96" s="37" t="s">
        <v>172</v>
      </c>
      <c r="D96" s="37" t="s">
        <v>173</v>
      </c>
      <c r="E96" s="37">
        <v>4306.47</v>
      </c>
      <c r="F96" s="37">
        <v>4407.71</v>
      </c>
      <c r="G96" s="37">
        <v>5287.49</v>
      </c>
      <c r="H96" s="37">
        <v>5284.32</v>
      </c>
      <c r="I96" s="37">
        <v>5144.38</v>
      </c>
    </row>
    <row r="97" spans="1:9">
      <c r="A97" s="37" t="s">
        <v>269</v>
      </c>
      <c r="B97" s="42">
        <v>11</v>
      </c>
      <c r="C97" s="37" t="s">
        <v>174</v>
      </c>
      <c r="D97" s="37" t="s">
        <v>175</v>
      </c>
      <c r="E97" s="37">
        <v>3860.47</v>
      </c>
      <c r="F97" s="37">
        <v>4042.36</v>
      </c>
      <c r="G97" s="37">
        <v>4392.07</v>
      </c>
      <c r="H97" s="37">
        <v>4717.5200000000004</v>
      </c>
      <c r="I97" s="37">
        <v>4911.41</v>
      </c>
    </row>
    <row r="98" spans="1:9">
      <c r="A98" s="37" t="s">
        <v>269</v>
      </c>
      <c r="B98" s="42">
        <v>12</v>
      </c>
      <c r="C98" s="37" t="s">
        <v>176</v>
      </c>
      <c r="D98" s="37" t="s">
        <v>177</v>
      </c>
      <c r="E98" s="37">
        <v>1282.1199999999999</v>
      </c>
      <c r="F98" s="37">
        <v>1342.55</v>
      </c>
      <c r="G98" s="37">
        <v>1413.03</v>
      </c>
      <c r="H98" s="37">
        <v>1492.02</v>
      </c>
      <c r="I98" s="37">
        <v>1577.21</v>
      </c>
    </row>
    <row r="99" spans="1:9">
      <c r="A99" s="37" t="s">
        <v>269</v>
      </c>
      <c r="B99" s="42">
        <v>13</v>
      </c>
      <c r="C99" s="37" t="s">
        <v>178</v>
      </c>
      <c r="D99" s="37" t="s">
        <v>179</v>
      </c>
      <c r="E99" s="37">
        <v>3.08</v>
      </c>
      <c r="F99" s="37">
        <v>3.48</v>
      </c>
      <c r="G99" s="37">
        <v>4.12</v>
      </c>
      <c r="H99" s="37">
        <v>4.33</v>
      </c>
      <c r="I99" s="37">
        <v>5.05</v>
      </c>
    </row>
    <row r="100" spans="1:9">
      <c r="A100" s="37" t="s">
        <v>269</v>
      </c>
      <c r="B100" s="42">
        <v>14</v>
      </c>
      <c r="C100" s="37" t="s">
        <v>180</v>
      </c>
      <c r="D100" s="37" t="s">
        <v>181</v>
      </c>
      <c r="E100" s="37">
        <v>1306.76</v>
      </c>
      <c r="F100" s="37">
        <v>1320.65</v>
      </c>
      <c r="G100" s="37">
        <v>1388.4</v>
      </c>
      <c r="H100" s="37">
        <v>1636.37</v>
      </c>
      <c r="I100" s="37">
        <v>1612.46</v>
      </c>
    </row>
    <row r="101" spans="1:9">
      <c r="A101" s="37" t="s">
        <v>269</v>
      </c>
      <c r="B101" s="42">
        <v>15</v>
      </c>
      <c r="C101" s="37" t="s">
        <v>182</v>
      </c>
      <c r="D101" s="37" t="s">
        <v>183</v>
      </c>
      <c r="E101" s="37">
        <v>915.56</v>
      </c>
      <c r="F101" s="37">
        <v>920.66</v>
      </c>
      <c r="G101" s="37">
        <v>956.29</v>
      </c>
      <c r="H101" s="37">
        <v>993.97</v>
      </c>
      <c r="I101" s="37">
        <v>1048.44</v>
      </c>
    </row>
    <row r="102" spans="1:9">
      <c r="A102" s="37" t="s">
        <v>269</v>
      </c>
      <c r="B102" s="42">
        <v>16</v>
      </c>
      <c r="C102" s="37" t="s">
        <v>184</v>
      </c>
      <c r="D102" s="37" t="s">
        <v>185</v>
      </c>
      <c r="E102" s="37">
        <v>881.29</v>
      </c>
      <c r="F102" s="37">
        <v>939.46</v>
      </c>
      <c r="G102" s="37">
        <v>894.18</v>
      </c>
      <c r="H102" s="37">
        <v>1069.44</v>
      </c>
      <c r="I102" s="37">
        <v>1097.99</v>
      </c>
    </row>
    <row r="103" spans="1:9">
      <c r="A103" s="37" t="s">
        <v>269</v>
      </c>
      <c r="B103" s="42">
        <v>17</v>
      </c>
      <c r="C103" s="37" t="s">
        <v>186</v>
      </c>
      <c r="D103" s="37" t="s">
        <v>187</v>
      </c>
      <c r="E103" s="37">
        <v>142.37</v>
      </c>
      <c r="F103" s="37">
        <v>176.31</v>
      </c>
      <c r="G103" s="37">
        <v>214.24</v>
      </c>
      <c r="H103" s="37">
        <v>248.41</v>
      </c>
      <c r="I103" s="37">
        <v>253.28</v>
      </c>
    </row>
    <row r="104" spans="1:9">
      <c r="A104" s="37" t="s">
        <v>373</v>
      </c>
      <c r="B104" s="42">
        <v>1</v>
      </c>
      <c r="C104" s="37" t="s">
        <v>154</v>
      </c>
      <c r="D104" s="37" t="s">
        <v>155</v>
      </c>
      <c r="E104" s="37">
        <v>109.04</v>
      </c>
      <c r="F104" s="37">
        <v>111.98</v>
      </c>
      <c r="G104" s="37">
        <v>114.56</v>
      </c>
      <c r="H104" s="37">
        <v>116.74</v>
      </c>
      <c r="I104" s="37">
        <v>120.81</v>
      </c>
    </row>
    <row r="105" spans="1:9">
      <c r="A105" s="37" t="s">
        <v>373</v>
      </c>
      <c r="B105" s="42">
        <v>2</v>
      </c>
      <c r="C105" s="37" t="s">
        <v>156</v>
      </c>
      <c r="D105" s="37" t="s">
        <v>157</v>
      </c>
      <c r="E105" s="37">
        <v>0.99</v>
      </c>
      <c r="F105" s="37">
        <v>1.01</v>
      </c>
      <c r="G105" s="37">
        <v>0.9</v>
      </c>
      <c r="H105" s="37">
        <v>0.86</v>
      </c>
      <c r="I105" s="37">
        <v>1</v>
      </c>
    </row>
    <row r="106" spans="1:9">
      <c r="A106" s="37" t="s">
        <v>373</v>
      </c>
      <c r="B106" s="42">
        <v>3</v>
      </c>
      <c r="C106" s="37" t="s">
        <v>158</v>
      </c>
      <c r="D106" s="37" t="s">
        <v>159</v>
      </c>
      <c r="E106" s="37">
        <v>964.33</v>
      </c>
      <c r="F106" s="37">
        <v>986.17</v>
      </c>
      <c r="G106" s="37">
        <v>1013.04</v>
      </c>
      <c r="H106" s="37">
        <v>1019.59</v>
      </c>
      <c r="I106" s="37">
        <v>1096.26</v>
      </c>
    </row>
    <row r="107" spans="1:9">
      <c r="A107" s="37" t="s">
        <v>373</v>
      </c>
      <c r="B107" s="42">
        <v>4</v>
      </c>
      <c r="C107" s="37" t="s">
        <v>160</v>
      </c>
      <c r="D107" s="37" t="s">
        <v>161</v>
      </c>
      <c r="E107" s="37">
        <v>36.99</v>
      </c>
      <c r="F107" s="37">
        <v>38.33</v>
      </c>
      <c r="G107" s="37">
        <v>41.01</v>
      </c>
      <c r="H107" s="37">
        <v>43.21</v>
      </c>
      <c r="I107" s="37">
        <v>47.69</v>
      </c>
    </row>
    <row r="108" spans="1:9">
      <c r="A108" s="37" t="s">
        <v>373</v>
      </c>
      <c r="B108" s="42">
        <v>5</v>
      </c>
      <c r="C108" s="37" t="s">
        <v>162</v>
      </c>
      <c r="D108" s="37" t="s">
        <v>163</v>
      </c>
      <c r="E108" s="37">
        <v>11.15</v>
      </c>
      <c r="F108" s="37">
        <v>11.45</v>
      </c>
      <c r="G108" s="37">
        <v>11.92</v>
      </c>
      <c r="H108" s="37">
        <v>11.78</v>
      </c>
      <c r="I108" s="37">
        <v>13.16</v>
      </c>
    </row>
    <row r="109" spans="1:9">
      <c r="A109" s="37" t="s">
        <v>373</v>
      </c>
      <c r="B109" s="42">
        <v>6</v>
      </c>
      <c r="C109" s="37" t="s">
        <v>164</v>
      </c>
      <c r="D109" s="37" t="s">
        <v>165</v>
      </c>
      <c r="E109" s="37">
        <v>4401.93</v>
      </c>
      <c r="F109" s="37">
        <v>4424.67</v>
      </c>
      <c r="G109" s="37">
        <v>4449.95</v>
      </c>
      <c r="H109" s="37">
        <v>4426.05</v>
      </c>
      <c r="I109" s="37">
        <v>4660.63</v>
      </c>
    </row>
    <row r="110" spans="1:9">
      <c r="A110" s="37" t="s">
        <v>373</v>
      </c>
      <c r="B110" s="42">
        <v>7</v>
      </c>
      <c r="C110" s="37" t="s">
        <v>166</v>
      </c>
      <c r="D110" s="37" t="s">
        <v>167</v>
      </c>
      <c r="E110" s="37">
        <v>3617.34</v>
      </c>
      <c r="F110" s="37">
        <v>3789.91</v>
      </c>
      <c r="G110" s="37">
        <v>4013.63</v>
      </c>
      <c r="H110" s="37">
        <v>4329.7</v>
      </c>
      <c r="I110" s="37">
        <v>4656.59</v>
      </c>
    </row>
    <row r="111" spans="1:9">
      <c r="A111" s="37" t="s">
        <v>373</v>
      </c>
      <c r="B111" s="42">
        <v>8</v>
      </c>
      <c r="C111" s="37" t="s">
        <v>168</v>
      </c>
      <c r="D111" s="37" t="s">
        <v>169</v>
      </c>
      <c r="E111" s="37">
        <v>583.19000000000005</v>
      </c>
      <c r="F111" s="37">
        <v>752.33</v>
      </c>
      <c r="G111" s="37">
        <v>836.72</v>
      </c>
      <c r="H111" s="37">
        <v>903.8</v>
      </c>
      <c r="I111" s="37">
        <v>968.7</v>
      </c>
    </row>
    <row r="112" spans="1:9">
      <c r="A112" s="37" t="s">
        <v>373</v>
      </c>
      <c r="B112" s="42">
        <v>9</v>
      </c>
      <c r="C112" s="37" t="s">
        <v>170</v>
      </c>
      <c r="D112" s="37" t="s">
        <v>171</v>
      </c>
      <c r="E112" s="37">
        <v>149.34</v>
      </c>
      <c r="F112" s="37">
        <v>199.94</v>
      </c>
      <c r="G112" s="37">
        <v>241.25</v>
      </c>
      <c r="H112" s="37">
        <v>254.32</v>
      </c>
      <c r="I112" s="37">
        <v>261.62</v>
      </c>
    </row>
    <row r="113" spans="1:9">
      <c r="A113" s="37" t="s">
        <v>373</v>
      </c>
      <c r="B113" s="42">
        <v>10</v>
      </c>
      <c r="C113" s="37" t="s">
        <v>172</v>
      </c>
      <c r="D113" s="37" t="s">
        <v>173</v>
      </c>
      <c r="E113" s="37">
        <v>585.17999999999995</v>
      </c>
      <c r="F113" s="37">
        <v>609.85</v>
      </c>
      <c r="G113" s="37">
        <v>663.75</v>
      </c>
      <c r="H113" s="37">
        <v>704.76</v>
      </c>
      <c r="I113" s="37">
        <v>686.08</v>
      </c>
    </row>
    <row r="114" spans="1:9">
      <c r="A114" s="37" t="s">
        <v>373</v>
      </c>
      <c r="B114" s="42">
        <v>11</v>
      </c>
      <c r="C114" s="37" t="s">
        <v>174</v>
      </c>
      <c r="D114" s="37" t="s">
        <v>175</v>
      </c>
      <c r="E114" s="37">
        <v>490.43</v>
      </c>
      <c r="F114" s="37">
        <v>500.14</v>
      </c>
      <c r="G114" s="37">
        <v>533.33000000000004</v>
      </c>
      <c r="H114" s="37">
        <v>556.74</v>
      </c>
      <c r="I114" s="37">
        <v>579.62</v>
      </c>
    </row>
    <row r="115" spans="1:9">
      <c r="A115" s="37" t="s">
        <v>373</v>
      </c>
      <c r="B115" s="42">
        <v>12</v>
      </c>
      <c r="C115" s="37" t="s">
        <v>176</v>
      </c>
      <c r="D115" s="37" t="s">
        <v>177</v>
      </c>
      <c r="E115" s="37">
        <v>493.6</v>
      </c>
      <c r="F115" s="37">
        <v>507.22</v>
      </c>
      <c r="G115" s="37">
        <v>546.91999999999996</v>
      </c>
      <c r="H115" s="37">
        <v>572.86</v>
      </c>
      <c r="I115" s="37">
        <v>605.57000000000005</v>
      </c>
    </row>
    <row r="116" spans="1:9">
      <c r="A116" s="37" t="s">
        <v>373</v>
      </c>
      <c r="B116" s="42">
        <v>13</v>
      </c>
      <c r="C116" s="37" t="s">
        <v>178</v>
      </c>
      <c r="D116" s="37" t="s">
        <v>179</v>
      </c>
      <c r="E116" s="37">
        <v>2.0499999999999998</v>
      </c>
      <c r="F116" s="37">
        <v>2.17</v>
      </c>
      <c r="G116" s="37">
        <v>2.38</v>
      </c>
      <c r="H116" s="37">
        <v>2.4300000000000002</v>
      </c>
      <c r="I116" s="37">
        <v>2.84</v>
      </c>
    </row>
    <row r="117" spans="1:9">
      <c r="A117" s="37" t="s">
        <v>373</v>
      </c>
      <c r="B117" s="42">
        <v>14</v>
      </c>
      <c r="C117" s="37" t="s">
        <v>180</v>
      </c>
      <c r="D117" s="37" t="s">
        <v>181</v>
      </c>
      <c r="E117" s="37">
        <v>1436.3</v>
      </c>
      <c r="F117" s="37">
        <v>1484.59</v>
      </c>
      <c r="G117" s="37">
        <v>1614.44</v>
      </c>
      <c r="H117" s="37">
        <v>1668.82</v>
      </c>
      <c r="I117" s="37">
        <v>1644.45</v>
      </c>
    </row>
    <row r="118" spans="1:9">
      <c r="A118" s="37" t="s">
        <v>373</v>
      </c>
      <c r="B118" s="42">
        <v>15</v>
      </c>
      <c r="C118" s="37" t="s">
        <v>182</v>
      </c>
      <c r="D118" s="37" t="s">
        <v>183</v>
      </c>
      <c r="E118" s="37">
        <v>605.48</v>
      </c>
      <c r="F118" s="37">
        <v>619.24</v>
      </c>
      <c r="G118" s="37">
        <v>639.39</v>
      </c>
      <c r="H118" s="37">
        <v>643.04</v>
      </c>
      <c r="I118" s="37">
        <v>678.28</v>
      </c>
    </row>
    <row r="119" spans="1:9">
      <c r="A119" s="37" t="s">
        <v>373</v>
      </c>
      <c r="B119" s="42">
        <v>16</v>
      </c>
      <c r="C119" s="37" t="s">
        <v>184</v>
      </c>
      <c r="D119" s="37" t="s">
        <v>185</v>
      </c>
      <c r="E119" s="37">
        <v>394.81</v>
      </c>
      <c r="F119" s="37">
        <v>401.01</v>
      </c>
      <c r="G119" s="37">
        <v>420.09</v>
      </c>
      <c r="H119" s="37">
        <v>448.27</v>
      </c>
      <c r="I119" s="37">
        <v>460.24</v>
      </c>
    </row>
    <row r="120" spans="1:9">
      <c r="A120" s="37" t="s">
        <v>373</v>
      </c>
      <c r="B120" s="42">
        <v>17</v>
      </c>
      <c r="C120" s="37" t="s">
        <v>186</v>
      </c>
      <c r="D120" s="37" t="s">
        <v>187</v>
      </c>
      <c r="E120" s="37">
        <v>138.06</v>
      </c>
      <c r="F120" s="37">
        <v>157.57</v>
      </c>
      <c r="G120" s="37">
        <v>172.72</v>
      </c>
      <c r="H120" s="37">
        <v>191.77</v>
      </c>
      <c r="I120" s="37">
        <v>195.53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00FF"/>
    <outlinePr summaryBelow="0" summaryRight="0"/>
  </sheetPr>
  <dimension ref="A1:F67"/>
  <sheetViews>
    <sheetView workbookViewId="0"/>
  </sheetViews>
  <sheetFormatPr defaultColWidth="12.6640625" defaultRowHeight="15.75" customHeight="1"/>
  <cols>
    <col min="1" max="1" width="56" customWidth="1"/>
    <col min="6" max="6" width="15.77734375" customWidth="1"/>
  </cols>
  <sheetData>
    <row r="1" spans="1:6" ht="15.75" customHeight="1">
      <c r="A1" s="67" t="s">
        <v>11</v>
      </c>
      <c r="B1" s="67" t="s">
        <v>191</v>
      </c>
      <c r="C1" s="60"/>
      <c r="D1" s="60"/>
      <c r="E1" s="60"/>
      <c r="F1" s="60"/>
    </row>
    <row r="2" spans="1:6" ht="15.75" customHeight="1">
      <c r="A2" s="60"/>
      <c r="B2" s="13">
        <v>2021</v>
      </c>
      <c r="C2" s="13">
        <v>2022</v>
      </c>
      <c r="D2" s="13">
        <v>2023</v>
      </c>
      <c r="E2" s="13">
        <v>2024</v>
      </c>
      <c r="F2" s="13">
        <v>2025</v>
      </c>
    </row>
    <row r="3" spans="1:6" ht="15.75" customHeight="1">
      <c r="A3" s="43" t="s">
        <v>155</v>
      </c>
      <c r="B3" s="13" t="s">
        <v>192</v>
      </c>
      <c r="C3" s="13" t="s">
        <v>193</v>
      </c>
      <c r="D3" s="13" t="s">
        <v>194</v>
      </c>
      <c r="E3" s="13" t="s">
        <v>195</v>
      </c>
      <c r="F3" s="13" t="s">
        <v>197</v>
      </c>
    </row>
    <row r="4" spans="1:6" ht="15.75" customHeight="1">
      <c r="A4" s="43" t="s">
        <v>89</v>
      </c>
      <c r="B4" s="13" t="s">
        <v>198</v>
      </c>
      <c r="C4" s="13" t="s">
        <v>199</v>
      </c>
      <c r="D4" s="13" t="s">
        <v>200</v>
      </c>
      <c r="E4" s="13">
        <v>2045</v>
      </c>
      <c r="F4" s="13" t="s">
        <v>201</v>
      </c>
    </row>
    <row r="5" spans="1:6" ht="15.75" customHeight="1">
      <c r="A5" s="43" t="s">
        <v>90</v>
      </c>
      <c r="B5" s="13" t="s">
        <v>202</v>
      </c>
      <c r="C5" s="13" t="s">
        <v>203</v>
      </c>
      <c r="D5" s="13" t="s">
        <v>204</v>
      </c>
      <c r="E5" s="13" t="s">
        <v>205</v>
      </c>
      <c r="F5" s="13">
        <v>10</v>
      </c>
    </row>
    <row r="6" spans="1:6" ht="15.75" customHeight="1">
      <c r="A6" s="43" t="s">
        <v>91</v>
      </c>
      <c r="B6" s="13" t="s">
        <v>206</v>
      </c>
      <c r="C6" s="13" t="s">
        <v>207</v>
      </c>
      <c r="D6" s="13" t="s">
        <v>208</v>
      </c>
      <c r="E6" s="13" t="s">
        <v>209</v>
      </c>
      <c r="F6" s="13" t="s">
        <v>210</v>
      </c>
    </row>
    <row r="7" spans="1:6" ht="15.75" customHeight="1">
      <c r="A7" s="43" t="s">
        <v>211</v>
      </c>
      <c r="B7" s="13" t="s">
        <v>212</v>
      </c>
      <c r="C7" s="13" t="s">
        <v>213</v>
      </c>
      <c r="D7" s="13" t="s">
        <v>214</v>
      </c>
      <c r="E7" s="13" t="s">
        <v>215</v>
      </c>
      <c r="F7" s="13" t="s">
        <v>216</v>
      </c>
    </row>
    <row r="8" spans="1:6" ht="15.75" customHeight="1">
      <c r="A8" s="43" t="s">
        <v>93</v>
      </c>
      <c r="B8" s="13" t="s">
        <v>217</v>
      </c>
      <c r="C8" s="13" t="s">
        <v>218</v>
      </c>
      <c r="D8" s="13" t="s">
        <v>219</v>
      </c>
      <c r="E8" s="13" t="s">
        <v>220</v>
      </c>
      <c r="F8" s="13" t="s">
        <v>221</v>
      </c>
    </row>
    <row r="9" spans="1:6" ht="15.75" customHeight="1">
      <c r="A9" s="43" t="s">
        <v>94</v>
      </c>
      <c r="B9" s="13" t="s">
        <v>222</v>
      </c>
      <c r="C9" s="13" t="s">
        <v>222</v>
      </c>
      <c r="D9" s="13" t="s">
        <v>223</v>
      </c>
      <c r="E9" s="13" t="s">
        <v>224</v>
      </c>
      <c r="F9" s="13" t="s">
        <v>225</v>
      </c>
    </row>
    <row r="10" spans="1:6" ht="15.75" customHeight="1">
      <c r="A10" s="43" t="s">
        <v>95</v>
      </c>
      <c r="B10" s="13" t="s">
        <v>226</v>
      </c>
      <c r="C10" s="13">
        <v>18</v>
      </c>
      <c r="D10" s="13" t="s">
        <v>227</v>
      </c>
      <c r="E10" s="13" t="s">
        <v>228</v>
      </c>
      <c r="F10" s="13" t="s">
        <v>229</v>
      </c>
    </row>
    <row r="11" spans="1:6" ht="15.75" customHeight="1">
      <c r="A11" s="43" t="s">
        <v>96</v>
      </c>
      <c r="B11" s="13" t="s">
        <v>230</v>
      </c>
      <c r="C11" s="13">
        <v>3378</v>
      </c>
      <c r="D11" s="13" t="s">
        <v>231</v>
      </c>
      <c r="E11" s="13" t="s">
        <v>232</v>
      </c>
      <c r="F11" s="13" t="s">
        <v>233</v>
      </c>
    </row>
    <row r="12" spans="1:6" ht="15.75" customHeight="1">
      <c r="A12" s="43" t="s">
        <v>157</v>
      </c>
      <c r="B12" s="13" t="s">
        <v>234</v>
      </c>
      <c r="C12" s="13" t="s">
        <v>235</v>
      </c>
      <c r="D12" s="13" t="s">
        <v>236</v>
      </c>
      <c r="E12" s="13" t="s">
        <v>237</v>
      </c>
      <c r="F12" s="13" t="s">
        <v>238</v>
      </c>
    </row>
    <row r="13" spans="1:6" ht="15.75" customHeight="1">
      <c r="A13" s="43" t="s">
        <v>239</v>
      </c>
      <c r="B13" s="13" t="s">
        <v>240</v>
      </c>
      <c r="C13" s="13" t="s">
        <v>241</v>
      </c>
      <c r="D13" s="13" t="s">
        <v>242</v>
      </c>
      <c r="E13" s="13">
        <v>17970</v>
      </c>
      <c r="F13" s="13" t="s">
        <v>243</v>
      </c>
    </row>
    <row r="14" spans="1:6" ht="15.75" customHeight="1">
      <c r="A14" s="43" t="s">
        <v>100</v>
      </c>
      <c r="B14" s="13">
        <v>0</v>
      </c>
      <c r="C14" s="13">
        <v>0</v>
      </c>
      <c r="D14" s="13">
        <v>0</v>
      </c>
      <c r="E14" s="13">
        <v>0</v>
      </c>
      <c r="F14" s="13">
        <v>0</v>
      </c>
    </row>
    <row r="15" spans="1:6" ht="15.75" customHeight="1">
      <c r="A15" s="43" t="s">
        <v>104</v>
      </c>
      <c r="B15" s="13" t="s">
        <v>244</v>
      </c>
      <c r="C15" s="13" t="s">
        <v>245</v>
      </c>
      <c r="D15" s="13" t="s">
        <v>246</v>
      </c>
      <c r="E15" s="13" t="s">
        <v>247</v>
      </c>
      <c r="F15" s="13" t="s">
        <v>248</v>
      </c>
    </row>
    <row r="16" spans="1:6" ht="15.75" customHeight="1">
      <c r="A16" s="43" t="s">
        <v>106</v>
      </c>
      <c r="B16" s="13" t="s">
        <v>249</v>
      </c>
      <c r="C16" s="13" t="s">
        <v>250</v>
      </c>
      <c r="D16" s="13" t="s">
        <v>251</v>
      </c>
      <c r="E16" s="13" t="s">
        <v>252</v>
      </c>
      <c r="F16" s="13" t="s">
        <v>253</v>
      </c>
    </row>
    <row r="17" spans="1:6" ht="15.75" customHeight="1">
      <c r="A17" s="43" t="s">
        <v>159</v>
      </c>
      <c r="B17" s="13" t="s">
        <v>254</v>
      </c>
      <c r="C17" s="13" t="s">
        <v>255</v>
      </c>
      <c r="D17" s="13" t="s">
        <v>256</v>
      </c>
      <c r="E17" s="13" t="s">
        <v>257</v>
      </c>
      <c r="F17" s="13" t="s">
        <v>258</v>
      </c>
    </row>
    <row r="18" spans="1:6" ht="15.75" customHeight="1">
      <c r="A18" s="43" t="s">
        <v>108</v>
      </c>
      <c r="B18" s="13">
        <v>0</v>
      </c>
      <c r="C18" s="13">
        <v>0</v>
      </c>
      <c r="D18" s="13">
        <v>0</v>
      </c>
      <c r="E18" s="13">
        <v>0</v>
      </c>
      <c r="F18" s="13">
        <v>0</v>
      </c>
    </row>
    <row r="19" spans="1:6" ht="15.75" customHeight="1">
      <c r="A19" s="43" t="s">
        <v>109</v>
      </c>
      <c r="B19" s="13" t="s">
        <v>259</v>
      </c>
      <c r="C19" s="13" t="s">
        <v>260</v>
      </c>
      <c r="D19" s="13" t="s">
        <v>261</v>
      </c>
      <c r="E19" s="13" t="s">
        <v>262</v>
      </c>
      <c r="F19" s="13">
        <v>1539</v>
      </c>
    </row>
    <row r="20" spans="1:6" ht="15.75" customHeight="1">
      <c r="A20" s="43" t="s">
        <v>263</v>
      </c>
      <c r="B20" s="13" t="s">
        <v>264</v>
      </c>
      <c r="C20" s="13" t="s">
        <v>265</v>
      </c>
      <c r="D20" s="13" t="s">
        <v>266</v>
      </c>
      <c r="E20" s="13" t="s">
        <v>267</v>
      </c>
      <c r="F20" s="13" t="s">
        <v>268</v>
      </c>
    </row>
    <row r="21" spans="1:6" ht="15.75" customHeight="1">
      <c r="A21" s="43" t="s">
        <v>111</v>
      </c>
      <c r="B21" s="13" t="s">
        <v>270</v>
      </c>
      <c r="C21" s="13" t="s">
        <v>271</v>
      </c>
      <c r="D21" s="13" t="s">
        <v>272</v>
      </c>
      <c r="E21" s="13" t="s">
        <v>273</v>
      </c>
      <c r="F21" s="13" t="s">
        <v>274</v>
      </c>
    </row>
    <row r="22" spans="1:6" ht="15.75" customHeight="1">
      <c r="A22" s="43" t="s">
        <v>112</v>
      </c>
      <c r="B22" s="13" t="s">
        <v>275</v>
      </c>
      <c r="C22" s="13" t="s">
        <v>276</v>
      </c>
      <c r="D22" s="13" t="s">
        <v>277</v>
      </c>
      <c r="E22" s="13" t="s">
        <v>278</v>
      </c>
      <c r="F22" s="13" t="s">
        <v>279</v>
      </c>
    </row>
    <row r="23" spans="1:6" ht="15.75" customHeight="1">
      <c r="A23" s="43" t="s">
        <v>280</v>
      </c>
      <c r="B23" s="13" t="s">
        <v>281</v>
      </c>
      <c r="C23" s="13" t="s">
        <v>282</v>
      </c>
      <c r="D23" s="13" t="s">
        <v>283</v>
      </c>
      <c r="E23" s="13" t="s">
        <v>284</v>
      </c>
      <c r="F23" s="13" t="s">
        <v>285</v>
      </c>
    </row>
    <row r="24" spans="1:6" ht="15.75" customHeight="1">
      <c r="A24" s="43" t="s">
        <v>286</v>
      </c>
      <c r="B24" s="13" t="s">
        <v>287</v>
      </c>
      <c r="C24" s="13" t="s">
        <v>288</v>
      </c>
      <c r="D24" s="13" t="s">
        <v>289</v>
      </c>
      <c r="E24" s="13" t="s">
        <v>290</v>
      </c>
      <c r="F24" s="13" t="s">
        <v>291</v>
      </c>
    </row>
    <row r="25" spans="1:6" ht="15.75" customHeight="1">
      <c r="A25" s="43" t="s">
        <v>292</v>
      </c>
      <c r="B25" s="13" t="s">
        <v>293</v>
      </c>
      <c r="C25" s="13" t="s">
        <v>294</v>
      </c>
      <c r="D25" s="13" t="s">
        <v>295</v>
      </c>
      <c r="E25" s="13" t="s">
        <v>296</v>
      </c>
      <c r="F25" s="13" t="s">
        <v>297</v>
      </c>
    </row>
    <row r="26" spans="1:6" ht="15.75" customHeight="1">
      <c r="A26" s="43" t="s">
        <v>117</v>
      </c>
      <c r="B26" s="13" t="s">
        <v>298</v>
      </c>
      <c r="C26" s="13" t="s">
        <v>299</v>
      </c>
      <c r="D26" s="13" t="s">
        <v>300</v>
      </c>
      <c r="E26" s="13" t="s">
        <v>301</v>
      </c>
      <c r="F26" s="13" t="s">
        <v>302</v>
      </c>
    </row>
    <row r="27" spans="1:6" ht="15.6">
      <c r="A27" s="43" t="s">
        <v>303</v>
      </c>
      <c r="B27" s="13" t="s">
        <v>304</v>
      </c>
      <c r="C27" s="13" t="s">
        <v>305</v>
      </c>
      <c r="D27" s="13" t="s">
        <v>306</v>
      </c>
      <c r="E27" s="13" t="s">
        <v>307</v>
      </c>
      <c r="F27" s="13" t="s">
        <v>308</v>
      </c>
    </row>
    <row r="28" spans="1:6" ht="15.6">
      <c r="A28" s="43" t="s">
        <v>119</v>
      </c>
      <c r="B28" s="13" t="s">
        <v>309</v>
      </c>
      <c r="C28" s="13" t="s">
        <v>310</v>
      </c>
      <c r="D28" s="13" t="s">
        <v>311</v>
      </c>
      <c r="E28" s="13" t="s">
        <v>312</v>
      </c>
      <c r="F28" s="13" t="s">
        <v>313</v>
      </c>
    </row>
    <row r="29" spans="1:6" ht="15.6">
      <c r="A29" s="43" t="s">
        <v>314</v>
      </c>
      <c r="B29" s="13" t="s">
        <v>315</v>
      </c>
      <c r="C29" s="13" t="s">
        <v>316</v>
      </c>
      <c r="D29" s="13" t="s">
        <v>317</v>
      </c>
      <c r="E29" s="13" t="s">
        <v>318</v>
      </c>
      <c r="F29" s="13" t="s">
        <v>319</v>
      </c>
    </row>
    <row r="30" spans="1:6" ht="15.6">
      <c r="A30" s="43" t="s">
        <v>320</v>
      </c>
      <c r="B30" s="13" t="s">
        <v>321</v>
      </c>
      <c r="C30" s="13" t="s">
        <v>322</v>
      </c>
      <c r="D30" s="13" t="s">
        <v>323</v>
      </c>
      <c r="E30" s="13" t="s">
        <v>324</v>
      </c>
      <c r="F30" s="13" t="s">
        <v>325</v>
      </c>
    </row>
    <row r="31" spans="1:6" ht="15.6">
      <c r="A31" s="43" t="s">
        <v>123</v>
      </c>
      <c r="B31" s="13" t="s">
        <v>326</v>
      </c>
      <c r="C31" s="13" t="s">
        <v>327</v>
      </c>
      <c r="D31" s="13" t="s">
        <v>328</v>
      </c>
      <c r="E31" s="13" t="s">
        <v>329</v>
      </c>
      <c r="F31" s="13" t="s">
        <v>330</v>
      </c>
    </row>
    <row r="32" spans="1:6" ht="15.6">
      <c r="A32" s="43" t="s">
        <v>124</v>
      </c>
      <c r="B32" s="13" t="s">
        <v>331</v>
      </c>
      <c r="C32" s="13" t="s">
        <v>332</v>
      </c>
      <c r="D32" s="13" t="s">
        <v>333</v>
      </c>
      <c r="E32" s="13" t="s">
        <v>334</v>
      </c>
      <c r="F32" s="13" t="s">
        <v>335</v>
      </c>
    </row>
    <row r="33" spans="1:6" ht="15.6">
      <c r="A33" s="43" t="s">
        <v>336</v>
      </c>
      <c r="B33" s="13" t="s">
        <v>337</v>
      </c>
      <c r="C33" s="13" t="s">
        <v>338</v>
      </c>
      <c r="D33" s="13" t="s">
        <v>339</v>
      </c>
      <c r="E33" s="13" t="s">
        <v>340</v>
      </c>
      <c r="F33" s="13" t="s">
        <v>341</v>
      </c>
    </row>
    <row r="34" spans="1:6" ht="15.6">
      <c r="A34" s="43" t="s">
        <v>342</v>
      </c>
      <c r="B34" s="13" t="s">
        <v>343</v>
      </c>
      <c r="C34" s="13" t="s">
        <v>344</v>
      </c>
      <c r="D34" s="13" t="s">
        <v>345</v>
      </c>
      <c r="E34" s="13" t="s">
        <v>346</v>
      </c>
      <c r="F34" s="13" t="s">
        <v>347</v>
      </c>
    </row>
    <row r="35" spans="1:6" ht="15.6">
      <c r="A35" s="43" t="s">
        <v>127</v>
      </c>
      <c r="B35" s="13" t="s">
        <v>348</v>
      </c>
      <c r="C35" s="13" t="s">
        <v>349</v>
      </c>
      <c r="D35" s="13" t="s">
        <v>350</v>
      </c>
      <c r="E35" s="13" t="s">
        <v>351</v>
      </c>
      <c r="F35" s="13" t="s">
        <v>352</v>
      </c>
    </row>
    <row r="36" spans="1:6" ht="15.6">
      <c r="A36" s="43" t="s">
        <v>353</v>
      </c>
      <c r="B36" s="13" t="s">
        <v>354</v>
      </c>
      <c r="C36" s="13" t="s">
        <v>355</v>
      </c>
      <c r="D36" s="13" t="s">
        <v>356</v>
      </c>
      <c r="E36" s="13" t="s">
        <v>357</v>
      </c>
      <c r="F36" s="13" t="s">
        <v>358</v>
      </c>
    </row>
    <row r="37" spans="1:6" ht="15.6">
      <c r="A37" s="43" t="s">
        <v>359</v>
      </c>
      <c r="B37" s="13" t="s">
        <v>360</v>
      </c>
      <c r="C37" s="13" t="s">
        <v>361</v>
      </c>
      <c r="D37" s="13" t="s">
        <v>362</v>
      </c>
      <c r="E37" s="13" t="s">
        <v>363</v>
      </c>
      <c r="F37" s="13" t="s">
        <v>364</v>
      </c>
    </row>
    <row r="38" spans="1:6" ht="15.6">
      <c r="A38" s="43" t="s">
        <v>165</v>
      </c>
      <c r="B38" s="13" t="s">
        <v>365</v>
      </c>
      <c r="C38" s="13" t="s">
        <v>366</v>
      </c>
      <c r="D38" s="13" t="s">
        <v>367</v>
      </c>
      <c r="E38" s="13" t="s">
        <v>368</v>
      </c>
      <c r="F38" s="13" t="s">
        <v>369</v>
      </c>
    </row>
    <row r="39" spans="1:6" ht="15.6">
      <c r="A39" s="43" t="s">
        <v>370</v>
      </c>
      <c r="B39" s="13" t="s">
        <v>371</v>
      </c>
      <c r="C39" s="13" t="s">
        <v>372</v>
      </c>
      <c r="D39" s="13" t="s">
        <v>374</v>
      </c>
      <c r="E39" s="13" t="s">
        <v>375</v>
      </c>
      <c r="F39" s="13" t="s">
        <v>376</v>
      </c>
    </row>
    <row r="40" spans="1:6" ht="15.6">
      <c r="A40" s="43" t="s">
        <v>133</v>
      </c>
      <c r="B40" s="13" t="s">
        <v>377</v>
      </c>
      <c r="C40" s="13" t="s">
        <v>378</v>
      </c>
      <c r="D40" s="13" t="s">
        <v>379</v>
      </c>
      <c r="E40" s="13" t="s">
        <v>380</v>
      </c>
      <c r="F40" s="13" t="s">
        <v>381</v>
      </c>
    </row>
    <row r="41" spans="1:6" ht="15.6">
      <c r="A41" s="43" t="s">
        <v>382</v>
      </c>
      <c r="B41" s="13" t="s">
        <v>383</v>
      </c>
      <c r="C41" s="13" t="s">
        <v>384</v>
      </c>
      <c r="D41" s="13" t="s">
        <v>385</v>
      </c>
      <c r="E41" s="13" t="s">
        <v>386</v>
      </c>
      <c r="F41" s="13" t="s">
        <v>387</v>
      </c>
    </row>
    <row r="42" spans="1:6" ht="15.6">
      <c r="A42" s="43" t="s">
        <v>169</v>
      </c>
      <c r="B42" s="13" t="s">
        <v>388</v>
      </c>
      <c r="C42" s="13" t="s">
        <v>389</v>
      </c>
      <c r="D42" s="13" t="s">
        <v>390</v>
      </c>
      <c r="E42" s="13" t="s">
        <v>391</v>
      </c>
      <c r="F42" s="13" t="s">
        <v>392</v>
      </c>
    </row>
    <row r="43" spans="1:6" ht="15.6">
      <c r="A43" s="43" t="s">
        <v>135</v>
      </c>
      <c r="B43" s="13">
        <v>0</v>
      </c>
      <c r="C43" s="13">
        <v>0</v>
      </c>
      <c r="D43" s="13">
        <v>0</v>
      </c>
      <c r="E43" s="13">
        <v>0</v>
      </c>
      <c r="F43" s="13">
        <v>0</v>
      </c>
    </row>
    <row r="44" spans="1:6" ht="15.6">
      <c r="A44" s="43" t="s">
        <v>136</v>
      </c>
      <c r="B44" s="13" t="s">
        <v>393</v>
      </c>
      <c r="C44" s="13">
        <v>609</v>
      </c>
      <c r="D44" s="13" t="s">
        <v>394</v>
      </c>
      <c r="E44" s="13" t="s">
        <v>395</v>
      </c>
      <c r="F44" s="13" t="s">
        <v>396</v>
      </c>
    </row>
    <row r="45" spans="1:6" ht="15.6">
      <c r="A45" s="43" t="s">
        <v>137</v>
      </c>
      <c r="B45" s="13" t="s">
        <v>397</v>
      </c>
      <c r="C45" s="13" t="s">
        <v>398</v>
      </c>
      <c r="D45" s="13" t="s">
        <v>399</v>
      </c>
      <c r="E45" s="13" t="s">
        <v>400</v>
      </c>
      <c r="F45" s="13" t="s">
        <v>401</v>
      </c>
    </row>
    <row r="46" spans="1:6" ht="15.6">
      <c r="A46" s="43" t="s">
        <v>138</v>
      </c>
      <c r="B46" s="13" t="s">
        <v>402</v>
      </c>
      <c r="C46" s="13" t="s">
        <v>403</v>
      </c>
      <c r="D46" s="13" t="s">
        <v>404</v>
      </c>
      <c r="E46" s="13" t="s">
        <v>405</v>
      </c>
      <c r="F46" s="13" t="s">
        <v>406</v>
      </c>
    </row>
    <row r="47" spans="1:6" ht="15.6">
      <c r="A47" s="43" t="s">
        <v>139</v>
      </c>
      <c r="B47" s="13" t="s">
        <v>407</v>
      </c>
      <c r="C47" s="13" t="s">
        <v>408</v>
      </c>
      <c r="D47" s="13" t="s">
        <v>409</v>
      </c>
      <c r="E47" s="13" t="s">
        <v>410</v>
      </c>
      <c r="F47" s="13" t="s">
        <v>411</v>
      </c>
    </row>
    <row r="48" spans="1:6" ht="15.6">
      <c r="A48" s="43" t="s">
        <v>412</v>
      </c>
      <c r="B48" s="13" t="s">
        <v>413</v>
      </c>
      <c r="C48" s="13" t="s">
        <v>414</v>
      </c>
      <c r="D48" s="13" t="s">
        <v>415</v>
      </c>
      <c r="E48" s="13" t="s">
        <v>416</v>
      </c>
      <c r="F48" s="13" t="s">
        <v>417</v>
      </c>
    </row>
    <row r="49" spans="1:6" ht="15.6">
      <c r="A49" s="43" t="s">
        <v>171</v>
      </c>
      <c r="B49" s="13" t="s">
        <v>418</v>
      </c>
      <c r="C49" s="13" t="s">
        <v>419</v>
      </c>
      <c r="D49" s="13" t="s">
        <v>420</v>
      </c>
      <c r="E49" s="13" t="s">
        <v>421</v>
      </c>
      <c r="F49" s="13" t="s">
        <v>422</v>
      </c>
    </row>
    <row r="50" spans="1:6" ht="15.6">
      <c r="A50" s="43" t="s">
        <v>141</v>
      </c>
      <c r="B50" s="13" t="s">
        <v>423</v>
      </c>
      <c r="C50" s="13" t="s">
        <v>424</v>
      </c>
      <c r="D50" s="13" t="s">
        <v>425</v>
      </c>
      <c r="E50" s="13" t="s">
        <v>426</v>
      </c>
      <c r="F50" s="13" t="s">
        <v>427</v>
      </c>
    </row>
    <row r="51" spans="1:6" ht="15.6">
      <c r="A51" s="43" t="s">
        <v>142</v>
      </c>
      <c r="B51" s="13" t="s">
        <v>428</v>
      </c>
      <c r="C51" s="13" t="s">
        <v>429</v>
      </c>
      <c r="D51" s="13">
        <v>1945</v>
      </c>
      <c r="E51" s="13" t="s">
        <v>430</v>
      </c>
      <c r="F51" s="13" t="s">
        <v>431</v>
      </c>
    </row>
    <row r="52" spans="1:6" ht="15.6">
      <c r="A52" s="43" t="s">
        <v>173</v>
      </c>
      <c r="B52" s="13" t="s">
        <v>432</v>
      </c>
      <c r="C52" s="13" t="s">
        <v>433</v>
      </c>
      <c r="D52" s="13" t="s">
        <v>434</v>
      </c>
      <c r="E52" s="13" t="s">
        <v>435</v>
      </c>
      <c r="F52" s="13" t="s">
        <v>436</v>
      </c>
    </row>
    <row r="53" spans="1:6" ht="15.6">
      <c r="A53" s="43" t="s">
        <v>437</v>
      </c>
      <c r="B53" s="13" t="s">
        <v>438</v>
      </c>
      <c r="C53" s="13" t="s">
        <v>439</v>
      </c>
      <c r="D53" s="13" t="s">
        <v>440</v>
      </c>
      <c r="E53" s="13" t="s">
        <v>441</v>
      </c>
      <c r="F53" s="13" t="s">
        <v>442</v>
      </c>
    </row>
    <row r="54" spans="1:6" ht="15.6">
      <c r="A54" s="43" t="s">
        <v>443</v>
      </c>
      <c r="B54" s="13" t="s">
        <v>444</v>
      </c>
      <c r="C54" s="13" t="s">
        <v>445</v>
      </c>
      <c r="D54" s="13" t="s">
        <v>446</v>
      </c>
      <c r="E54" s="13" t="s">
        <v>447</v>
      </c>
      <c r="F54" s="13" t="s">
        <v>448</v>
      </c>
    </row>
    <row r="55" spans="1:6" ht="15.6">
      <c r="A55" s="43" t="s">
        <v>144</v>
      </c>
      <c r="B55" s="13" t="s">
        <v>449</v>
      </c>
      <c r="C55" s="13" t="s">
        <v>450</v>
      </c>
      <c r="D55" s="13" t="s">
        <v>451</v>
      </c>
      <c r="E55" s="13" t="s">
        <v>452</v>
      </c>
      <c r="F55" s="13" t="s">
        <v>453</v>
      </c>
    </row>
    <row r="56" spans="1:6" ht="15.6">
      <c r="A56" s="43" t="s">
        <v>145</v>
      </c>
      <c r="B56" s="13" t="s">
        <v>454</v>
      </c>
      <c r="C56" s="13" t="s">
        <v>455</v>
      </c>
      <c r="D56" s="13" t="s">
        <v>456</v>
      </c>
      <c r="E56" s="13" t="s">
        <v>457</v>
      </c>
      <c r="F56" s="13" t="s">
        <v>458</v>
      </c>
    </row>
    <row r="57" spans="1:6" ht="15.6">
      <c r="A57" s="43" t="s">
        <v>146</v>
      </c>
      <c r="B57" s="13" t="s">
        <v>459</v>
      </c>
      <c r="C57" s="13" t="s">
        <v>460</v>
      </c>
      <c r="D57" s="13" t="s">
        <v>461</v>
      </c>
      <c r="E57" s="13" t="s">
        <v>462</v>
      </c>
      <c r="F57" s="13" t="s">
        <v>463</v>
      </c>
    </row>
    <row r="58" spans="1:6" ht="15.6">
      <c r="A58" s="43" t="s">
        <v>464</v>
      </c>
      <c r="B58" s="13" t="s">
        <v>465</v>
      </c>
      <c r="C58" s="13" t="s">
        <v>466</v>
      </c>
      <c r="D58" s="13" t="s">
        <v>467</v>
      </c>
      <c r="E58" s="13" t="s">
        <v>468</v>
      </c>
      <c r="F58" s="13" t="s">
        <v>469</v>
      </c>
    </row>
    <row r="59" spans="1:6" ht="15.6">
      <c r="A59" s="43" t="s">
        <v>179</v>
      </c>
      <c r="B59" s="13" t="s">
        <v>470</v>
      </c>
      <c r="C59" s="13" t="s">
        <v>471</v>
      </c>
      <c r="D59" s="13" t="s">
        <v>472</v>
      </c>
      <c r="E59" s="13" t="s">
        <v>473</v>
      </c>
      <c r="F59" s="13" t="s">
        <v>474</v>
      </c>
    </row>
    <row r="60" spans="1:6" ht="15.6">
      <c r="A60" s="43" t="s">
        <v>181</v>
      </c>
      <c r="B60" s="13" t="s">
        <v>475</v>
      </c>
      <c r="C60" s="13" t="s">
        <v>476</v>
      </c>
      <c r="D60" s="13" t="s">
        <v>477</v>
      </c>
      <c r="E60" s="13" t="s">
        <v>478</v>
      </c>
      <c r="F60" s="13" t="s">
        <v>479</v>
      </c>
    </row>
    <row r="61" spans="1:6" ht="15.6">
      <c r="A61" s="43" t="s">
        <v>183</v>
      </c>
      <c r="B61" s="13" t="s">
        <v>480</v>
      </c>
      <c r="C61" s="13" t="s">
        <v>481</v>
      </c>
      <c r="D61" s="13" t="s">
        <v>482</v>
      </c>
      <c r="E61" s="13" t="s">
        <v>483</v>
      </c>
      <c r="F61" s="13" t="s">
        <v>484</v>
      </c>
    </row>
    <row r="62" spans="1:6" ht="15.6">
      <c r="A62" s="43" t="s">
        <v>185</v>
      </c>
      <c r="B62" s="13" t="s">
        <v>485</v>
      </c>
      <c r="C62" s="13" t="s">
        <v>486</v>
      </c>
      <c r="D62" s="13" t="s">
        <v>487</v>
      </c>
      <c r="E62" s="13" t="s">
        <v>488</v>
      </c>
      <c r="F62" s="13" t="s">
        <v>489</v>
      </c>
    </row>
    <row r="63" spans="1:6" ht="15.6">
      <c r="A63" s="43" t="s">
        <v>490</v>
      </c>
      <c r="B63" s="13" t="s">
        <v>491</v>
      </c>
      <c r="C63" s="13" t="s">
        <v>492</v>
      </c>
      <c r="D63" s="13" t="s">
        <v>493</v>
      </c>
      <c r="E63" s="13" t="s">
        <v>494</v>
      </c>
      <c r="F63" s="13" t="s">
        <v>495</v>
      </c>
    </row>
    <row r="64" spans="1:6" ht="15.6">
      <c r="A64" s="43" t="s">
        <v>496</v>
      </c>
      <c r="B64" s="13" t="s">
        <v>497</v>
      </c>
      <c r="C64" s="13" t="s">
        <v>498</v>
      </c>
      <c r="D64" s="13" t="s">
        <v>499</v>
      </c>
      <c r="E64" s="13" t="s">
        <v>500</v>
      </c>
      <c r="F64" s="13" t="s">
        <v>501</v>
      </c>
    </row>
    <row r="65" spans="1:6" ht="15.6">
      <c r="A65" s="43" t="s">
        <v>502</v>
      </c>
      <c r="B65" s="13" t="s">
        <v>503</v>
      </c>
      <c r="C65" s="13" t="s">
        <v>504</v>
      </c>
      <c r="D65" s="13" t="s">
        <v>505</v>
      </c>
      <c r="E65" s="13" t="s">
        <v>506</v>
      </c>
      <c r="F65" s="13" t="s">
        <v>507</v>
      </c>
    </row>
    <row r="66" spans="1:6" ht="15.6">
      <c r="A66" s="43"/>
      <c r="B66" s="43"/>
      <c r="C66" s="43"/>
      <c r="D66" s="43"/>
      <c r="E66" s="43"/>
      <c r="F66" s="43"/>
    </row>
    <row r="67" spans="1:6" ht="15.6">
      <c r="A67" s="43" t="s">
        <v>508</v>
      </c>
      <c r="B67" s="43" t="s">
        <v>509</v>
      </c>
      <c r="C67" s="43" t="s">
        <v>510</v>
      </c>
      <c r="D67" s="43" t="s">
        <v>511</v>
      </c>
      <c r="E67" s="43"/>
      <c r="F67" s="43"/>
    </row>
  </sheetData>
  <mergeCells count="2">
    <mergeCell ref="A1:A2"/>
    <mergeCell ref="B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00FF"/>
    <outlinePr summaryBelow="0" summaryRight="0"/>
  </sheetPr>
  <dimension ref="A1:F67"/>
  <sheetViews>
    <sheetView workbookViewId="0"/>
  </sheetViews>
  <sheetFormatPr defaultColWidth="12.6640625" defaultRowHeight="15.75" customHeight="1"/>
  <cols>
    <col min="1" max="1" width="82.88671875" customWidth="1"/>
  </cols>
  <sheetData>
    <row r="1" spans="1:6" ht="15.75" customHeight="1">
      <c r="A1" s="67" t="s">
        <v>11</v>
      </c>
      <c r="B1" s="67" t="s">
        <v>512</v>
      </c>
      <c r="C1" s="60"/>
      <c r="D1" s="60"/>
      <c r="E1" s="60"/>
      <c r="F1" s="60"/>
    </row>
    <row r="2" spans="1:6" ht="15.75" customHeight="1">
      <c r="A2" s="60"/>
      <c r="B2" s="13">
        <v>2021</v>
      </c>
      <c r="C2" s="13">
        <v>2022</v>
      </c>
      <c r="D2" s="13">
        <v>2023</v>
      </c>
      <c r="E2" s="13">
        <v>2024</v>
      </c>
      <c r="F2" s="13">
        <v>2025</v>
      </c>
    </row>
    <row r="3" spans="1:6" ht="15.75" customHeight="1">
      <c r="A3" s="43" t="s">
        <v>155</v>
      </c>
      <c r="B3" s="13" t="s">
        <v>513</v>
      </c>
      <c r="C3" s="13" t="s">
        <v>514</v>
      </c>
      <c r="D3" s="13" t="s">
        <v>515</v>
      </c>
      <c r="E3" s="13" t="s">
        <v>516</v>
      </c>
      <c r="F3" s="13" t="s">
        <v>517</v>
      </c>
    </row>
    <row r="4" spans="1:6" ht="15.75" customHeight="1">
      <c r="A4" s="43" t="s">
        <v>89</v>
      </c>
      <c r="B4" s="13" t="s">
        <v>518</v>
      </c>
      <c r="C4" s="13" t="s">
        <v>519</v>
      </c>
      <c r="D4" s="13" t="s">
        <v>520</v>
      </c>
      <c r="E4" s="13" t="s">
        <v>521</v>
      </c>
      <c r="F4" s="13" t="s">
        <v>522</v>
      </c>
    </row>
    <row r="5" spans="1:6" ht="15.75" customHeight="1">
      <c r="A5" s="43" t="s">
        <v>90</v>
      </c>
      <c r="B5" s="13" t="s">
        <v>523</v>
      </c>
      <c r="C5" s="13" t="s">
        <v>524</v>
      </c>
      <c r="D5" s="13" t="s">
        <v>525</v>
      </c>
      <c r="E5" s="13" t="s">
        <v>526</v>
      </c>
      <c r="F5" s="13" t="s">
        <v>527</v>
      </c>
    </row>
    <row r="6" spans="1:6" ht="15.75" customHeight="1">
      <c r="A6" s="43" t="s">
        <v>91</v>
      </c>
      <c r="B6" s="13">
        <v>412</v>
      </c>
      <c r="C6" s="13" t="s">
        <v>528</v>
      </c>
      <c r="D6" s="13" t="s">
        <v>529</v>
      </c>
      <c r="E6" s="13" t="s">
        <v>530</v>
      </c>
      <c r="F6" s="13" t="s">
        <v>531</v>
      </c>
    </row>
    <row r="7" spans="1:6" ht="15.75" customHeight="1">
      <c r="A7" s="43" t="s">
        <v>211</v>
      </c>
      <c r="B7" s="13" t="s">
        <v>532</v>
      </c>
      <c r="C7" s="13" t="s">
        <v>533</v>
      </c>
      <c r="D7" s="13" t="s">
        <v>534</v>
      </c>
      <c r="E7" s="13" t="s">
        <v>535</v>
      </c>
      <c r="F7" s="13" t="s">
        <v>536</v>
      </c>
    </row>
    <row r="8" spans="1:6" ht="15.75" customHeight="1">
      <c r="A8" s="43" t="s">
        <v>93</v>
      </c>
      <c r="B8" s="13" t="s">
        <v>537</v>
      </c>
      <c r="C8" s="13" t="s">
        <v>538</v>
      </c>
      <c r="D8" s="13" t="s">
        <v>539</v>
      </c>
      <c r="E8" s="13" t="s">
        <v>540</v>
      </c>
      <c r="F8" s="13" t="s">
        <v>541</v>
      </c>
    </row>
    <row r="9" spans="1:6" ht="15.75" customHeight="1">
      <c r="A9" s="43" t="s">
        <v>94</v>
      </c>
      <c r="B9" s="13" t="s">
        <v>542</v>
      </c>
      <c r="C9" s="13" t="s">
        <v>543</v>
      </c>
      <c r="D9" s="13" t="s">
        <v>544</v>
      </c>
      <c r="E9" s="13" t="s">
        <v>545</v>
      </c>
      <c r="F9" s="13" t="s">
        <v>546</v>
      </c>
    </row>
    <row r="10" spans="1:6" ht="15.75" customHeight="1">
      <c r="A10" s="43" t="s">
        <v>95</v>
      </c>
      <c r="B10" s="13" t="s">
        <v>547</v>
      </c>
      <c r="C10" s="13" t="s">
        <v>548</v>
      </c>
      <c r="D10" s="13" t="s">
        <v>549</v>
      </c>
      <c r="E10" s="13" t="s">
        <v>550</v>
      </c>
      <c r="F10" s="13" t="s">
        <v>551</v>
      </c>
    </row>
    <row r="11" spans="1:6" ht="15.75" customHeight="1">
      <c r="A11" s="43" t="s">
        <v>96</v>
      </c>
      <c r="B11" s="13" t="s">
        <v>552</v>
      </c>
      <c r="C11" s="13">
        <v>5353</v>
      </c>
      <c r="D11" s="13">
        <v>5900</v>
      </c>
      <c r="E11" s="13">
        <v>6053</v>
      </c>
      <c r="F11" s="13">
        <v>6585</v>
      </c>
    </row>
    <row r="12" spans="1:6" ht="15.75" customHeight="1">
      <c r="A12" s="43" t="s">
        <v>157</v>
      </c>
      <c r="B12" s="13" t="s">
        <v>553</v>
      </c>
      <c r="C12" s="13" t="s">
        <v>554</v>
      </c>
      <c r="D12" s="13" t="s">
        <v>555</v>
      </c>
      <c r="E12" s="13" t="s">
        <v>556</v>
      </c>
      <c r="F12" s="13" t="s">
        <v>557</v>
      </c>
    </row>
    <row r="13" spans="1:6" ht="15.75" customHeight="1">
      <c r="A13" s="43" t="s">
        <v>239</v>
      </c>
      <c r="B13" s="13" t="s">
        <v>558</v>
      </c>
      <c r="C13" s="13" t="s">
        <v>559</v>
      </c>
      <c r="D13" s="13" t="s">
        <v>560</v>
      </c>
      <c r="E13" s="13" t="s">
        <v>561</v>
      </c>
      <c r="F13" s="13" t="s">
        <v>562</v>
      </c>
    </row>
    <row r="14" spans="1:6" ht="15.75" customHeight="1">
      <c r="A14" s="43" t="s">
        <v>100</v>
      </c>
      <c r="B14" s="13">
        <v>0</v>
      </c>
      <c r="C14" s="13">
        <v>0</v>
      </c>
      <c r="D14" s="13">
        <v>0</v>
      </c>
      <c r="E14" s="13">
        <v>0</v>
      </c>
      <c r="F14" s="13">
        <v>0</v>
      </c>
    </row>
    <row r="15" spans="1:6" ht="15.75" customHeight="1">
      <c r="A15" s="43" t="s">
        <v>104</v>
      </c>
      <c r="B15" s="13" t="s">
        <v>563</v>
      </c>
      <c r="C15" s="13" t="s">
        <v>564</v>
      </c>
      <c r="D15" s="13" t="s">
        <v>565</v>
      </c>
      <c r="E15" s="13" t="s">
        <v>566</v>
      </c>
      <c r="F15" s="13" t="s">
        <v>567</v>
      </c>
    </row>
    <row r="16" spans="1:6" ht="15.75" customHeight="1">
      <c r="A16" s="43" t="s">
        <v>106</v>
      </c>
      <c r="B16" s="13" t="s">
        <v>568</v>
      </c>
      <c r="C16" s="13" t="s">
        <v>569</v>
      </c>
      <c r="D16" s="13" t="s">
        <v>570</v>
      </c>
      <c r="E16" s="13" t="s">
        <v>571</v>
      </c>
      <c r="F16" s="13" t="s">
        <v>572</v>
      </c>
    </row>
    <row r="17" spans="1:6" ht="15.75" customHeight="1">
      <c r="A17" s="43" t="s">
        <v>159</v>
      </c>
      <c r="B17" s="13" t="s">
        <v>573</v>
      </c>
      <c r="C17" s="13" t="s">
        <v>574</v>
      </c>
      <c r="D17" s="13" t="s">
        <v>575</v>
      </c>
      <c r="E17" s="13">
        <v>144629</v>
      </c>
      <c r="F17" s="13" t="s">
        <v>576</v>
      </c>
    </row>
    <row r="18" spans="1:6" ht="15.75" customHeight="1">
      <c r="A18" s="43" t="s">
        <v>108</v>
      </c>
      <c r="B18" s="43" t="s">
        <v>51</v>
      </c>
      <c r="C18" s="43" t="s">
        <v>51</v>
      </c>
      <c r="D18" s="43" t="s">
        <v>51</v>
      </c>
      <c r="E18" s="43" t="s">
        <v>51</v>
      </c>
      <c r="F18" s="43" t="s">
        <v>51</v>
      </c>
    </row>
    <row r="19" spans="1:6" ht="15.75" customHeight="1">
      <c r="A19" s="43" t="s">
        <v>109</v>
      </c>
      <c r="B19" s="13" t="s">
        <v>577</v>
      </c>
      <c r="C19" s="13" t="s">
        <v>579</v>
      </c>
      <c r="D19" s="13" t="s">
        <v>580</v>
      </c>
      <c r="E19" s="13" t="s">
        <v>581</v>
      </c>
      <c r="F19" s="13" t="s">
        <v>582</v>
      </c>
    </row>
    <row r="20" spans="1:6" ht="15.75" customHeight="1">
      <c r="A20" s="43" t="s">
        <v>263</v>
      </c>
      <c r="B20" s="13" t="s">
        <v>584</v>
      </c>
      <c r="C20" s="13" t="s">
        <v>585</v>
      </c>
      <c r="D20" s="13" t="s">
        <v>586</v>
      </c>
      <c r="E20" s="13" t="s">
        <v>587</v>
      </c>
      <c r="F20" s="13" t="s">
        <v>588</v>
      </c>
    </row>
    <row r="21" spans="1:6" ht="15.75" customHeight="1">
      <c r="A21" s="43" t="s">
        <v>111</v>
      </c>
      <c r="B21" s="13" t="s">
        <v>589</v>
      </c>
      <c r="C21" s="13" t="s">
        <v>590</v>
      </c>
      <c r="D21" s="13" t="s">
        <v>591</v>
      </c>
      <c r="E21" s="13">
        <v>1723</v>
      </c>
      <c r="F21" s="13" t="s">
        <v>592</v>
      </c>
    </row>
    <row r="22" spans="1:6" ht="15.75" customHeight="1">
      <c r="A22" s="43" t="s">
        <v>112</v>
      </c>
      <c r="B22" s="13" t="s">
        <v>597</v>
      </c>
      <c r="C22" s="13" t="s">
        <v>599</v>
      </c>
      <c r="D22" s="13">
        <v>105</v>
      </c>
      <c r="E22" s="13" t="s">
        <v>601</v>
      </c>
      <c r="F22" s="13" t="s">
        <v>603</v>
      </c>
    </row>
    <row r="23" spans="1:6" ht="15.75" customHeight="1">
      <c r="A23" s="43" t="s">
        <v>280</v>
      </c>
      <c r="B23" s="13" t="s">
        <v>608</v>
      </c>
      <c r="C23" s="13" t="s">
        <v>610</v>
      </c>
      <c r="D23" s="13" t="s">
        <v>613</v>
      </c>
      <c r="E23" s="13" t="s">
        <v>615</v>
      </c>
      <c r="F23" s="13" t="s">
        <v>616</v>
      </c>
    </row>
    <row r="24" spans="1:6" ht="15.75" customHeight="1">
      <c r="A24" s="43" t="s">
        <v>286</v>
      </c>
      <c r="B24" s="13" t="s">
        <v>622</v>
      </c>
      <c r="C24" s="13" t="s">
        <v>624</v>
      </c>
      <c r="D24" s="13" t="s">
        <v>627</v>
      </c>
      <c r="E24" s="13" t="s">
        <v>629</v>
      </c>
      <c r="F24" s="13" t="s">
        <v>631</v>
      </c>
    </row>
    <row r="25" spans="1:6" ht="15.75" customHeight="1">
      <c r="A25" s="43" t="s">
        <v>292</v>
      </c>
      <c r="B25" s="13" t="s">
        <v>637</v>
      </c>
      <c r="C25" s="13" t="s">
        <v>638</v>
      </c>
      <c r="D25" s="13" t="s">
        <v>640</v>
      </c>
      <c r="E25" s="13" t="s">
        <v>642</v>
      </c>
      <c r="F25" s="13" t="s">
        <v>644</v>
      </c>
    </row>
    <row r="26" spans="1:6" ht="15.75" customHeight="1">
      <c r="A26" s="43" t="s">
        <v>117</v>
      </c>
      <c r="B26" s="13" t="s">
        <v>647</v>
      </c>
      <c r="C26" s="13" t="s">
        <v>648</v>
      </c>
      <c r="D26" s="13" t="s">
        <v>649</v>
      </c>
      <c r="E26" s="13" t="s">
        <v>650</v>
      </c>
      <c r="F26" s="13" t="s">
        <v>651</v>
      </c>
    </row>
    <row r="27" spans="1:6" ht="15.6">
      <c r="A27" s="43" t="s">
        <v>303</v>
      </c>
      <c r="B27" s="13" t="s">
        <v>652</v>
      </c>
      <c r="C27" s="13" t="s">
        <v>653</v>
      </c>
      <c r="D27" s="13">
        <v>227</v>
      </c>
      <c r="E27" s="13" t="s">
        <v>654</v>
      </c>
      <c r="F27" s="13" t="s">
        <v>655</v>
      </c>
    </row>
    <row r="28" spans="1:6" ht="15.6">
      <c r="A28" s="43" t="s">
        <v>119</v>
      </c>
      <c r="B28" s="13" t="s">
        <v>656</v>
      </c>
      <c r="C28" s="13" t="s">
        <v>657</v>
      </c>
      <c r="D28" s="13" t="s">
        <v>658</v>
      </c>
      <c r="E28" s="13" t="s">
        <v>659</v>
      </c>
      <c r="F28" s="13" t="s">
        <v>660</v>
      </c>
    </row>
    <row r="29" spans="1:6" ht="15.6">
      <c r="A29" s="43" t="s">
        <v>314</v>
      </c>
      <c r="B29" s="13" t="s">
        <v>661</v>
      </c>
      <c r="C29" s="13" t="s">
        <v>662</v>
      </c>
      <c r="D29" s="13" t="s">
        <v>663</v>
      </c>
      <c r="E29" s="13" t="s">
        <v>664</v>
      </c>
      <c r="F29" s="13" t="s">
        <v>665</v>
      </c>
    </row>
    <row r="30" spans="1:6" ht="15.6">
      <c r="A30" s="43" t="s">
        <v>320</v>
      </c>
      <c r="B30" s="13" t="s">
        <v>666</v>
      </c>
      <c r="C30" s="13" t="s">
        <v>667</v>
      </c>
      <c r="D30" s="13">
        <v>8047</v>
      </c>
      <c r="E30" s="13" t="s">
        <v>668</v>
      </c>
      <c r="F30" s="13" t="s">
        <v>669</v>
      </c>
    </row>
    <row r="31" spans="1:6" ht="15.6">
      <c r="A31" s="43" t="s">
        <v>123</v>
      </c>
      <c r="B31" s="13" t="s">
        <v>670</v>
      </c>
      <c r="C31" s="13" t="s">
        <v>671</v>
      </c>
      <c r="D31" s="13" t="s">
        <v>672</v>
      </c>
      <c r="E31" s="13" t="s">
        <v>673</v>
      </c>
      <c r="F31" s="13">
        <v>10672</v>
      </c>
    </row>
    <row r="32" spans="1:6" ht="15.6">
      <c r="A32" s="43" t="s">
        <v>124</v>
      </c>
      <c r="B32" s="13" t="s">
        <v>674</v>
      </c>
      <c r="C32" s="13" t="s">
        <v>675</v>
      </c>
      <c r="D32" s="13">
        <v>2885</v>
      </c>
      <c r="E32" s="13" t="s">
        <v>676</v>
      </c>
      <c r="F32" s="13" t="s">
        <v>677</v>
      </c>
    </row>
    <row r="33" spans="1:6" ht="15.6">
      <c r="A33" s="43" t="s">
        <v>336</v>
      </c>
      <c r="B33" s="13" t="s">
        <v>678</v>
      </c>
      <c r="C33" s="13" t="s">
        <v>679</v>
      </c>
      <c r="D33" s="13" t="s">
        <v>680</v>
      </c>
      <c r="E33" s="13" t="s">
        <v>681</v>
      </c>
      <c r="F33" s="13" t="s">
        <v>682</v>
      </c>
    </row>
    <row r="34" spans="1:6" ht="15.6">
      <c r="A34" s="43" t="s">
        <v>342</v>
      </c>
      <c r="B34" s="13" t="s">
        <v>683</v>
      </c>
      <c r="C34" s="13" t="s">
        <v>684</v>
      </c>
      <c r="D34" s="13" t="s">
        <v>685</v>
      </c>
      <c r="E34" s="13" t="s">
        <v>686</v>
      </c>
      <c r="F34" s="13" t="s">
        <v>687</v>
      </c>
    </row>
    <row r="35" spans="1:6" ht="15.6">
      <c r="A35" s="43" t="s">
        <v>127</v>
      </c>
      <c r="B35" s="13" t="s">
        <v>688</v>
      </c>
      <c r="C35" s="13" t="s">
        <v>689</v>
      </c>
      <c r="D35" s="13" t="s">
        <v>690</v>
      </c>
      <c r="E35" s="13" t="s">
        <v>691</v>
      </c>
      <c r="F35" s="13" t="s">
        <v>692</v>
      </c>
    </row>
    <row r="36" spans="1:6" ht="15.6">
      <c r="A36" s="43" t="s">
        <v>353</v>
      </c>
      <c r="B36" s="13" t="s">
        <v>693</v>
      </c>
      <c r="C36" s="13">
        <v>2761</v>
      </c>
      <c r="D36" s="13" t="s">
        <v>694</v>
      </c>
      <c r="E36" s="13" t="s">
        <v>695</v>
      </c>
      <c r="F36" s="13" t="s">
        <v>696</v>
      </c>
    </row>
    <row r="37" spans="1:6" ht="15.6">
      <c r="A37" s="43" t="s">
        <v>359</v>
      </c>
      <c r="B37" s="13" t="s">
        <v>697</v>
      </c>
      <c r="C37" s="13" t="s">
        <v>698</v>
      </c>
      <c r="D37" s="13" t="s">
        <v>699</v>
      </c>
      <c r="E37" s="13" t="s">
        <v>700</v>
      </c>
      <c r="F37" s="13" t="s">
        <v>701</v>
      </c>
    </row>
    <row r="38" spans="1:6" ht="15.6">
      <c r="A38" s="43" t="s">
        <v>165</v>
      </c>
      <c r="B38" s="13" t="s">
        <v>702</v>
      </c>
      <c r="C38" s="13" t="s">
        <v>703</v>
      </c>
      <c r="D38" s="13" t="s">
        <v>704</v>
      </c>
      <c r="E38" s="13" t="s">
        <v>705</v>
      </c>
      <c r="F38" s="13" t="s">
        <v>706</v>
      </c>
    </row>
    <row r="39" spans="1:6" ht="15.6">
      <c r="A39" s="43" t="s">
        <v>370</v>
      </c>
      <c r="B39" s="13" t="s">
        <v>707</v>
      </c>
      <c r="C39" s="13" t="s">
        <v>708</v>
      </c>
      <c r="D39" s="13">
        <v>30166</v>
      </c>
      <c r="E39" s="13" t="s">
        <v>709</v>
      </c>
      <c r="F39" s="13" t="s">
        <v>710</v>
      </c>
    </row>
    <row r="40" spans="1:6" ht="15.6">
      <c r="A40" s="43" t="s">
        <v>133</v>
      </c>
      <c r="B40" s="13" t="s">
        <v>711</v>
      </c>
      <c r="C40" s="13">
        <v>6394</v>
      </c>
      <c r="D40" s="13" t="s">
        <v>712</v>
      </c>
      <c r="E40" s="13" t="s">
        <v>713</v>
      </c>
      <c r="F40" s="13" t="s">
        <v>714</v>
      </c>
    </row>
    <row r="41" spans="1:6" ht="15.6">
      <c r="A41" s="43" t="s">
        <v>382</v>
      </c>
      <c r="B41" s="13" t="s">
        <v>715</v>
      </c>
      <c r="C41" s="13" t="s">
        <v>716</v>
      </c>
      <c r="D41" s="13" t="s">
        <v>717</v>
      </c>
      <c r="E41" s="13" t="s">
        <v>718</v>
      </c>
      <c r="F41" s="13" t="s">
        <v>719</v>
      </c>
    </row>
    <row r="42" spans="1:6" ht="15.6">
      <c r="A42" s="43" t="s">
        <v>169</v>
      </c>
      <c r="B42" s="13" t="s">
        <v>720</v>
      </c>
      <c r="C42" s="13" t="s">
        <v>721</v>
      </c>
      <c r="D42" s="13" t="s">
        <v>722</v>
      </c>
      <c r="E42" s="13" t="s">
        <v>723</v>
      </c>
      <c r="F42" s="13" t="s">
        <v>724</v>
      </c>
    </row>
    <row r="43" spans="1:6" ht="15.6">
      <c r="A43" s="43" t="s">
        <v>135</v>
      </c>
      <c r="B43" s="13">
        <v>0</v>
      </c>
      <c r="C43" s="13">
        <v>0</v>
      </c>
      <c r="D43" s="13">
        <v>0</v>
      </c>
      <c r="E43" s="13">
        <v>0</v>
      </c>
      <c r="F43" s="13">
        <v>0</v>
      </c>
    </row>
    <row r="44" spans="1:6" ht="15.6">
      <c r="A44" s="43" t="s">
        <v>136</v>
      </c>
      <c r="B44" s="13" t="s">
        <v>725</v>
      </c>
      <c r="C44" s="13" t="s">
        <v>726</v>
      </c>
      <c r="D44" s="13" t="s">
        <v>727</v>
      </c>
      <c r="E44" s="13" t="s">
        <v>728</v>
      </c>
      <c r="F44" s="13" t="s">
        <v>729</v>
      </c>
    </row>
    <row r="45" spans="1:6" ht="15.6">
      <c r="A45" s="43" t="s">
        <v>137</v>
      </c>
      <c r="B45" s="13" t="s">
        <v>730</v>
      </c>
      <c r="C45" s="13" t="s">
        <v>731</v>
      </c>
      <c r="D45" s="13" t="s">
        <v>732</v>
      </c>
      <c r="E45" s="13" t="s">
        <v>733</v>
      </c>
      <c r="F45" s="13" t="s">
        <v>734</v>
      </c>
    </row>
    <row r="46" spans="1:6" ht="15.6">
      <c r="A46" s="43" t="s">
        <v>138</v>
      </c>
      <c r="B46" s="13" t="s">
        <v>735</v>
      </c>
      <c r="C46" s="13" t="s">
        <v>736</v>
      </c>
      <c r="D46" s="13" t="s">
        <v>737</v>
      </c>
      <c r="E46" s="13" t="s">
        <v>738</v>
      </c>
      <c r="F46" s="13" t="s">
        <v>739</v>
      </c>
    </row>
    <row r="47" spans="1:6" ht="15.6">
      <c r="A47" s="43" t="s">
        <v>139</v>
      </c>
      <c r="B47" s="13" t="s">
        <v>740</v>
      </c>
      <c r="C47" s="13" t="s">
        <v>741</v>
      </c>
      <c r="D47" s="13" t="s">
        <v>742</v>
      </c>
      <c r="E47" s="13" t="s">
        <v>743</v>
      </c>
      <c r="F47" s="13" t="s">
        <v>744</v>
      </c>
    </row>
    <row r="48" spans="1:6" ht="15.6">
      <c r="A48" s="43" t="s">
        <v>412</v>
      </c>
      <c r="B48" s="13" t="s">
        <v>745</v>
      </c>
      <c r="C48" s="13" t="s">
        <v>746</v>
      </c>
      <c r="D48" s="13" t="s">
        <v>747</v>
      </c>
      <c r="E48" s="13" t="s">
        <v>748</v>
      </c>
      <c r="F48" s="13" t="s">
        <v>749</v>
      </c>
    </row>
    <row r="49" spans="1:6" ht="15.6">
      <c r="A49" s="43" t="s">
        <v>171</v>
      </c>
      <c r="B49" s="13" t="s">
        <v>750</v>
      </c>
      <c r="C49" s="13" t="s">
        <v>751</v>
      </c>
      <c r="D49" s="13" t="s">
        <v>752</v>
      </c>
      <c r="E49" s="13" t="s">
        <v>753</v>
      </c>
      <c r="F49" s="13">
        <v>6980</v>
      </c>
    </row>
    <row r="50" spans="1:6" ht="15.6">
      <c r="A50" s="43" t="s">
        <v>141</v>
      </c>
      <c r="B50" s="13" t="s">
        <v>754</v>
      </c>
      <c r="C50" s="13" t="s">
        <v>755</v>
      </c>
      <c r="D50" s="13" t="s">
        <v>756</v>
      </c>
      <c r="E50" s="13" t="s">
        <v>757</v>
      </c>
      <c r="F50" s="13" t="s">
        <v>758</v>
      </c>
    </row>
    <row r="51" spans="1:6" ht="15.6">
      <c r="A51" s="43" t="s">
        <v>142</v>
      </c>
      <c r="B51" s="13" t="s">
        <v>759</v>
      </c>
      <c r="C51" s="13" t="s">
        <v>760</v>
      </c>
      <c r="D51" s="13" t="s">
        <v>761</v>
      </c>
      <c r="E51" s="13" t="s">
        <v>762</v>
      </c>
      <c r="F51" s="13" t="s">
        <v>763</v>
      </c>
    </row>
    <row r="52" spans="1:6" ht="15.6">
      <c r="A52" s="43" t="s">
        <v>173</v>
      </c>
      <c r="B52" s="13" t="s">
        <v>764</v>
      </c>
      <c r="C52" s="13" t="s">
        <v>765</v>
      </c>
      <c r="D52" s="13" t="s">
        <v>766</v>
      </c>
      <c r="E52" s="13" t="s">
        <v>767</v>
      </c>
      <c r="F52" s="13" t="s">
        <v>768</v>
      </c>
    </row>
    <row r="53" spans="1:6" ht="15.6">
      <c r="A53" s="43" t="s">
        <v>437</v>
      </c>
      <c r="B53" s="13" t="s">
        <v>769</v>
      </c>
      <c r="C53" s="13" t="s">
        <v>770</v>
      </c>
      <c r="D53" s="13" t="s">
        <v>771</v>
      </c>
      <c r="E53" s="13" t="s">
        <v>772</v>
      </c>
      <c r="F53" s="13" t="s">
        <v>773</v>
      </c>
    </row>
    <row r="54" spans="1:6" ht="15.6">
      <c r="A54" s="43" t="s">
        <v>443</v>
      </c>
      <c r="B54" s="13" t="s">
        <v>774</v>
      </c>
      <c r="C54" s="13" t="s">
        <v>775</v>
      </c>
      <c r="D54" s="13" t="s">
        <v>776</v>
      </c>
      <c r="E54" s="13" t="s">
        <v>777</v>
      </c>
      <c r="F54" s="13" t="s">
        <v>778</v>
      </c>
    </row>
    <row r="55" spans="1:6" ht="15.6">
      <c r="A55" s="43" t="s">
        <v>144</v>
      </c>
      <c r="B55" s="13" t="s">
        <v>779</v>
      </c>
      <c r="C55" s="13" t="s">
        <v>780</v>
      </c>
      <c r="D55" s="13" t="s">
        <v>781</v>
      </c>
      <c r="E55" s="13" t="s">
        <v>782</v>
      </c>
      <c r="F55" s="13" t="s">
        <v>783</v>
      </c>
    </row>
    <row r="56" spans="1:6" ht="15.6">
      <c r="A56" s="43" t="s">
        <v>145</v>
      </c>
      <c r="B56" s="13" t="s">
        <v>784</v>
      </c>
      <c r="C56" s="13" t="s">
        <v>785</v>
      </c>
      <c r="D56" s="13" t="s">
        <v>786</v>
      </c>
      <c r="E56" s="13" t="s">
        <v>787</v>
      </c>
      <c r="F56" s="13">
        <v>59</v>
      </c>
    </row>
    <row r="57" spans="1:6" ht="15.6">
      <c r="A57" s="43" t="s">
        <v>146</v>
      </c>
      <c r="B57" s="13" t="s">
        <v>788</v>
      </c>
      <c r="C57" s="13" t="s">
        <v>550</v>
      </c>
      <c r="D57" s="13" t="s">
        <v>789</v>
      </c>
      <c r="E57" s="13" t="s">
        <v>790</v>
      </c>
      <c r="F57" s="13" t="s">
        <v>791</v>
      </c>
    </row>
    <row r="58" spans="1:6" ht="15.6">
      <c r="A58" s="43" t="s">
        <v>464</v>
      </c>
      <c r="B58" s="13" t="s">
        <v>792</v>
      </c>
      <c r="C58" s="13" t="s">
        <v>793</v>
      </c>
      <c r="D58" s="13">
        <v>3640</v>
      </c>
      <c r="E58" s="13" t="s">
        <v>794</v>
      </c>
      <c r="F58" s="13" t="s">
        <v>795</v>
      </c>
    </row>
    <row r="59" spans="1:6" ht="15.6">
      <c r="A59" s="43" t="s">
        <v>179</v>
      </c>
      <c r="B59" s="13" t="s">
        <v>796</v>
      </c>
      <c r="C59" s="13" t="s">
        <v>797</v>
      </c>
      <c r="D59" s="13" t="s">
        <v>798</v>
      </c>
      <c r="E59" s="13">
        <v>12</v>
      </c>
      <c r="F59" s="13" t="s">
        <v>799</v>
      </c>
    </row>
    <row r="60" spans="1:6" ht="15.6">
      <c r="A60" s="43" t="s">
        <v>181</v>
      </c>
      <c r="B60" s="13">
        <v>6698</v>
      </c>
      <c r="C60" s="13" t="s">
        <v>800</v>
      </c>
      <c r="D60" s="13" t="s">
        <v>801</v>
      </c>
      <c r="E60" s="13" t="s">
        <v>802</v>
      </c>
      <c r="F60" s="13" t="s">
        <v>803</v>
      </c>
    </row>
    <row r="61" spans="1:6" ht="15.6">
      <c r="A61" s="43" t="s">
        <v>183</v>
      </c>
      <c r="B61" s="13" t="s">
        <v>804</v>
      </c>
      <c r="C61" s="13" t="s">
        <v>805</v>
      </c>
      <c r="D61" s="13" t="s">
        <v>806</v>
      </c>
      <c r="E61" s="13" t="s">
        <v>807</v>
      </c>
      <c r="F61" s="13" t="s">
        <v>808</v>
      </c>
    </row>
    <row r="62" spans="1:6" ht="15.6">
      <c r="A62" s="43" t="s">
        <v>185</v>
      </c>
      <c r="B62" s="13" t="s">
        <v>809</v>
      </c>
      <c r="C62" s="13" t="s">
        <v>810</v>
      </c>
      <c r="D62" s="13" t="s">
        <v>811</v>
      </c>
      <c r="E62" s="13" t="s">
        <v>812</v>
      </c>
      <c r="F62" s="13" t="s">
        <v>813</v>
      </c>
    </row>
    <row r="63" spans="1:6" ht="15.6">
      <c r="A63" s="43" t="s">
        <v>490</v>
      </c>
      <c r="B63" s="13">
        <v>430</v>
      </c>
      <c r="C63" s="13" t="s">
        <v>814</v>
      </c>
      <c r="D63" s="13" t="s">
        <v>815</v>
      </c>
      <c r="E63" s="13" t="s">
        <v>816</v>
      </c>
      <c r="F63" s="13" t="s">
        <v>817</v>
      </c>
    </row>
    <row r="64" spans="1:6" ht="15.6">
      <c r="A64" s="43" t="s">
        <v>496</v>
      </c>
      <c r="B64" s="13" t="s">
        <v>818</v>
      </c>
      <c r="C64" s="13" t="s">
        <v>819</v>
      </c>
      <c r="D64" s="13" t="s">
        <v>820</v>
      </c>
      <c r="E64" s="13" t="s">
        <v>821</v>
      </c>
      <c r="F64" s="13" t="s">
        <v>822</v>
      </c>
    </row>
    <row r="65" spans="1:6" ht="15.6">
      <c r="A65" s="43" t="s">
        <v>502</v>
      </c>
      <c r="B65" s="13" t="s">
        <v>823</v>
      </c>
      <c r="C65" s="13" t="s">
        <v>824</v>
      </c>
      <c r="D65" s="13" t="s">
        <v>825</v>
      </c>
      <c r="E65" s="13" t="s">
        <v>826</v>
      </c>
      <c r="F65" s="13" t="s">
        <v>827</v>
      </c>
    </row>
    <row r="66" spans="1:6" ht="15.6">
      <c r="A66" s="43"/>
      <c r="B66" s="43"/>
      <c r="C66" s="43"/>
      <c r="D66" s="43"/>
      <c r="E66" s="43"/>
      <c r="F66" s="43"/>
    </row>
    <row r="67" spans="1:6" ht="15.6">
      <c r="A67" s="43" t="s">
        <v>508</v>
      </c>
      <c r="B67" s="43" t="s">
        <v>509</v>
      </c>
      <c r="C67" s="43" t="s">
        <v>510</v>
      </c>
      <c r="D67" s="43" t="s">
        <v>511</v>
      </c>
      <c r="E67" s="43"/>
      <c r="F67" s="43"/>
    </row>
  </sheetData>
  <mergeCells count="2">
    <mergeCell ref="A1:A2"/>
    <mergeCell ref="B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FF"/>
    <outlinePr summaryBelow="0" summaryRight="0"/>
  </sheetPr>
  <dimension ref="A1:I67"/>
  <sheetViews>
    <sheetView workbookViewId="0"/>
  </sheetViews>
  <sheetFormatPr defaultColWidth="12.6640625" defaultRowHeight="15.75" customHeight="1"/>
  <cols>
    <col min="1" max="1" width="82.88671875" customWidth="1"/>
    <col min="2" max="5" width="12.6640625" hidden="1"/>
  </cols>
  <sheetData>
    <row r="1" spans="1:9" ht="15.75" customHeight="1">
      <c r="A1" s="67" t="s">
        <v>11</v>
      </c>
      <c r="B1" s="67" t="s">
        <v>512</v>
      </c>
      <c r="C1" s="60"/>
      <c r="D1" s="60"/>
      <c r="E1" s="60"/>
      <c r="F1" s="60"/>
    </row>
    <row r="2" spans="1:9" ht="15.75" customHeight="1">
      <c r="A2" s="60"/>
      <c r="B2" s="13">
        <v>2021</v>
      </c>
      <c r="C2" s="13">
        <v>2022</v>
      </c>
      <c r="D2" s="13">
        <v>2023</v>
      </c>
      <c r="E2" s="13">
        <v>2024</v>
      </c>
      <c r="F2" s="13">
        <v>2025</v>
      </c>
    </row>
    <row r="3" spans="1:9" ht="15.75" customHeight="1">
      <c r="A3" s="43" t="s">
        <v>155</v>
      </c>
      <c r="B3" s="13">
        <v>8461.7999999999993</v>
      </c>
      <c r="C3" s="13">
        <v>9371.2999999999993</v>
      </c>
      <c r="D3" s="13">
        <v>9898.7000000000007</v>
      </c>
      <c r="E3" s="13">
        <v>10355.5</v>
      </c>
      <c r="F3" s="13">
        <v>11388.1</v>
      </c>
      <c r="H3" s="35">
        <f>F3/$F$64</f>
        <v>2.9832873977123614E-2</v>
      </c>
      <c r="I3" s="11">
        <f>RANK(H3,$H$3:$H$63,FALSE)</f>
        <v>5</v>
      </c>
    </row>
    <row r="4" spans="1:9" ht="15.75" customHeight="1">
      <c r="A4" s="43" t="s">
        <v>89</v>
      </c>
      <c r="B4" s="13">
        <v>3669.1</v>
      </c>
      <c r="C4" s="13">
        <v>3990.3</v>
      </c>
      <c r="D4" s="13">
        <v>3971.4</v>
      </c>
      <c r="E4" s="13">
        <v>4276.3</v>
      </c>
      <c r="F4" s="13">
        <v>4774.3999999999996</v>
      </c>
      <c r="H4" s="35"/>
    </row>
    <row r="5" spans="1:9" ht="15.75" customHeight="1">
      <c r="A5" s="43" t="s">
        <v>90</v>
      </c>
      <c r="B5" s="13">
        <v>18.2</v>
      </c>
      <c r="C5" s="13">
        <v>19.899999999999999</v>
      </c>
      <c r="D5" s="13">
        <v>20.3</v>
      </c>
      <c r="E5" s="13">
        <v>22.4</v>
      </c>
      <c r="F5" s="13">
        <v>21.2</v>
      </c>
      <c r="H5" s="35"/>
    </row>
    <row r="6" spans="1:9" ht="15.75" customHeight="1">
      <c r="A6" s="43" t="s">
        <v>91</v>
      </c>
      <c r="B6" s="13">
        <v>412</v>
      </c>
      <c r="C6" s="13">
        <v>420.9</v>
      </c>
      <c r="D6" s="13">
        <v>466.6</v>
      </c>
      <c r="E6" s="13">
        <v>459.2</v>
      </c>
      <c r="F6" s="13">
        <v>486.3</v>
      </c>
      <c r="H6" s="35"/>
    </row>
    <row r="7" spans="1:9" ht="15.75" customHeight="1">
      <c r="A7" s="43" t="s">
        <v>211</v>
      </c>
      <c r="B7" s="13">
        <v>1962.9</v>
      </c>
      <c r="C7" s="13">
        <v>2126.4</v>
      </c>
      <c r="D7" s="13">
        <v>2102.9</v>
      </c>
      <c r="E7" s="13">
        <v>2528.4</v>
      </c>
      <c r="F7" s="13">
        <v>2904.9</v>
      </c>
      <c r="H7" s="35"/>
    </row>
    <row r="8" spans="1:9" ht="15.75" customHeight="1">
      <c r="A8" s="43" t="s">
        <v>93</v>
      </c>
      <c r="B8" s="13">
        <v>1227.7</v>
      </c>
      <c r="C8" s="13">
        <v>1371.8</v>
      </c>
      <c r="D8" s="13">
        <v>1330.1</v>
      </c>
      <c r="E8" s="13">
        <v>1215.0999999999999</v>
      </c>
      <c r="F8" s="13">
        <v>1308.5999999999999</v>
      </c>
      <c r="H8" s="35"/>
    </row>
    <row r="9" spans="1:9" ht="15.75" customHeight="1">
      <c r="A9" s="43" t="s">
        <v>94</v>
      </c>
      <c r="B9" s="13">
        <v>48.3</v>
      </c>
      <c r="C9" s="13">
        <v>51.3</v>
      </c>
      <c r="D9" s="13">
        <v>51.5</v>
      </c>
      <c r="E9" s="13">
        <v>51.2</v>
      </c>
      <c r="F9" s="13">
        <v>53.3</v>
      </c>
      <c r="H9" s="35"/>
    </row>
    <row r="10" spans="1:9" ht="15.75" customHeight="1">
      <c r="A10" s="43" t="s">
        <v>95</v>
      </c>
      <c r="B10" s="13">
        <v>28.3</v>
      </c>
      <c r="C10" s="13">
        <v>28.1</v>
      </c>
      <c r="D10" s="13">
        <v>27.3</v>
      </c>
      <c r="E10" s="13">
        <v>26.3</v>
      </c>
      <c r="F10" s="13">
        <v>28.8</v>
      </c>
      <c r="H10" s="35"/>
    </row>
    <row r="11" spans="1:9" ht="15.75" customHeight="1">
      <c r="A11" s="43" t="s">
        <v>96</v>
      </c>
      <c r="B11" s="13">
        <v>4764.3999999999996</v>
      </c>
      <c r="C11" s="13">
        <v>5353</v>
      </c>
      <c r="D11" s="13">
        <v>5900</v>
      </c>
      <c r="E11" s="13">
        <v>6053</v>
      </c>
      <c r="F11" s="13">
        <v>6585</v>
      </c>
      <c r="H11" s="35"/>
    </row>
    <row r="12" spans="1:9" ht="15.75" customHeight="1">
      <c r="A12" s="43" t="s">
        <v>157</v>
      </c>
      <c r="B12" s="13">
        <v>34696.1</v>
      </c>
      <c r="C12" s="13">
        <v>38839.300000000003</v>
      </c>
      <c r="D12" s="13">
        <v>37035.1</v>
      </c>
      <c r="E12" s="13">
        <v>34242.400000000001</v>
      </c>
      <c r="F12" s="13">
        <v>38396.699999999997</v>
      </c>
      <c r="H12" s="35">
        <f>F12/$F$64</f>
        <v>0.10058604264428853</v>
      </c>
      <c r="I12" s="11">
        <f>RANK(H12,$H$3:$H$63,FALSE)</f>
        <v>3</v>
      </c>
    </row>
    <row r="13" spans="1:9" ht="15.75" customHeight="1">
      <c r="A13" s="43" t="s">
        <v>239</v>
      </c>
      <c r="B13" s="13">
        <v>29756.6</v>
      </c>
      <c r="C13" s="13">
        <v>33346.199999999997</v>
      </c>
      <c r="D13" s="13">
        <v>30722.400000000001</v>
      </c>
      <c r="E13" s="13">
        <v>28549.599999999999</v>
      </c>
      <c r="F13" s="13">
        <v>32593.4</v>
      </c>
      <c r="H13" s="35"/>
    </row>
    <row r="14" spans="1:9" ht="15.75" customHeight="1">
      <c r="A14" s="43" t="s">
        <v>100</v>
      </c>
      <c r="B14" s="13">
        <v>0</v>
      </c>
      <c r="C14" s="13">
        <v>0</v>
      </c>
      <c r="D14" s="13">
        <v>0</v>
      </c>
      <c r="E14" s="13">
        <v>0</v>
      </c>
      <c r="F14" s="13">
        <v>0</v>
      </c>
      <c r="H14" s="35"/>
    </row>
    <row r="15" spans="1:9" ht="15.75" customHeight="1">
      <c r="A15" s="43" t="s">
        <v>104</v>
      </c>
      <c r="B15" s="13">
        <v>3433.2</v>
      </c>
      <c r="C15" s="13">
        <v>4116.3</v>
      </c>
      <c r="D15" s="13">
        <v>4881.5</v>
      </c>
      <c r="E15" s="13">
        <v>4374.7</v>
      </c>
      <c r="F15" s="13">
        <v>4445.2</v>
      </c>
      <c r="H15" s="35"/>
    </row>
    <row r="16" spans="1:9" ht="15.75" customHeight="1">
      <c r="A16" s="43" t="s">
        <v>106</v>
      </c>
      <c r="B16" s="13">
        <v>1506.3</v>
      </c>
      <c r="C16" s="13">
        <v>1376.9</v>
      </c>
      <c r="D16" s="13">
        <v>1431.2</v>
      </c>
      <c r="E16" s="13">
        <v>1318.1</v>
      </c>
      <c r="F16" s="13">
        <v>1358.1</v>
      </c>
      <c r="H16" s="35"/>
    </row>
    <row r="17" spans="1:9" ht="15.75" customHeight="1">
      <c r="A17" s="43" t="s">
        <v>159</v>
      </c>
      <c r="B17" s="13">
        <v>115852.5</v>
      </c>
      <c r="C17" s="13">
        <v>125989.7</v>
      </c>
      <c r="D17" s="13">
        <v>132924.9</v>
      </c>
      <c r="E17" s="13">
        <v>144629</v>
      </c>
      <c r="F17" s="13">
        <v>158685.9</v>
      </c>
      <c r="H17" s="35">
        <f>F17/$F$64</f>
        <v>0.41570204482279222</v>
      </c>
      <c r="I17" s="11">
        <f>RANK(H17,$H$3:$H$63,FALSE)</f>
        <v>1</v>
      </c>
    </row>
    <row r="18" spans="1:9" ht="15.75" customHeight="1">
      <c r="A18" s="43" t="s">
        <v>108</v>
      </c>
      <c r="B18" s="43" t="s">
        <v>51</v>
      </c>
      <c r="C18" s="43" t="s">
        <v>51</v>
      </c>
      <c r="D18" s="43" t="s">
        <v>51</v>
      </c>
      <c r="E18" s="43" t="s">
        <v>51</v>
      </c>
      <c r="F18" s="43" t="s">
        <v>51</v>
      </c>
      <c r="H18" s="35"/>
    </row>
    <row r="19" spans="1:9" ht="15.75" customHeight="1">
      <c r="A19" s="43" t="s">
        <v>109</v>
      </c>
      <c r="B19" s="13">
        <v>2344.4</v>
      </c>
      <c r="C19" s="13">
        <v>2499.8000000000002</v>
      </c>
      <c r="D19" s="13">
        <v>2558.1999999999998</v>
      </c>
      <c r="E19" s="13">
        <v>2582.4</v>
      </c>
      <c r="F19" s="13">
        <v>2719.1</v>
      </c>
      <c r="H19" s="35"/>
    </row>
    <row r="20" spans="1:9" ht="15.75" customHeight="1">
      <c r="A20" s="43" t="s">
        <v>263</v>
      </c>
      <c r="B20" s="13">
        <v>544.20000000000005</v>
      </c>
      <c r="C20" s="13">
        <v>583.79999999999995</v>
      </c>
      <c r="D20" s="13">
        <v>669.2</v>
      </c>
      <c r="E20" s="13">
        <v>837.7</v>
      </c>
      <c r="F20" s="13">
        <v>913.9</v>
      </c>
      <c r="H20" s="35"/>
    </row>
    <row r="21" spans="1:9" ht="15.75" customHeight="1">
      <c r="A21" s="43" t="s">
        <v>111</v>
      </c>
      <c r="B21" s="13">
        <v>2543.1</v>
      </c>
      <c r="C21" s="13">
        <v>2289.6</v>
      </c>
      <c r="D21" s="13">
        <v>2182.9</v>
      </c>
      <c r="E21" s="13">
        <v>1723</v>
      </c>
      <c r="F21" s="13">
        <v>1894.8</v>
      </c>
      <c r="H21" s="35"/>
    </row>
    <row r="22" spans="1:9" ht="15.75" customHeight="1">
      <c r="A22" s="43" t="s">
        <v>112</v>
      </c>
      <c r="B22" s="13">
        <v>112.3</v>
      </c>
      <c r="C22" s="13">
        <v>109.1</v>
      </c>
      <c r="D22" s="13">
        <v>105</v>
      </c>
      <c r="E22" s="13">
        <v>106.8</v>
      </c>
      <c r="F22" s="13">
        <v>108.7</v>
      </c>
      <c r="H22" s="35"/>
    </row>
    <row r="23" spans="1:9" ht="15.75" customHeight="1">
      <c r="A23" s="43" t="s">
        <v>280</v>
      </c>
      <c r="B23" s="13">
        <v>777.5</v>
      </c>
      <c r="C23" s="13">
        <v>750.4</v>
      </c>
      <c r="D23" s="13">
        <v>739.3</v>
      </c>
      <c r="E23" s="13">
        <v>822.1</v>
      </c>
      <c r="F23" s="13">
        <v>915.7</v>
      </c>
      <c r="H23" s="35"/>
    </row>
    <row r="24" spans="1:9" ht="15.75" customHeight="1">
      <c r="A24" s="43" t="s">
        <v>286</v>
      </c>
      <c r="B24" s="13">
        <v>470.5</v>
      </c>
      <c r="C24" s="13">
        <v>425.2</v>
      </c>
      <c r="D24" s="13">
        <v>464.2</v>
      </c>
      <c r="E24" s="13">
        <v>547.70000000000005</v>
      </c>
      <c r="F24" s="13">
        <v>557.29999999999995</v>
      </c>
      <c r="H24" s="35"/>
    </row>
    <row r="25" spans="1:9" ht="15.75" customHeight="1">
      <c r="A25" s="43" t="s">
        <v>292</v>
      </c>
      <c r="B25" s="13">
        <v>585.5</v>
      </c>
      <c r="C25" s="13">
        <v>548.6</v>
      </c>
      <c r="D25" s="13">
        <v>565.79999999999995</v>
      </c>
      <c r="E25" s="13">
        <v>628.70000000000005</v>
      </c>
      <c r="F25" s="13">
        <v>646.5</v>
      </c>
      <c r="H25" s="35"/>
    </row>
    <row r="26" spans="1:9" ht="15.75" customHeight="1">
      <c r="A26" s="43" t="s">
        <v>117</v>
      </c>
      <c r="B26" s="13">
        <v>2528.6</v>
      </c>
      <c r="C26" s="13">
        <v>2717.6</v>
      </c>
      <c r="D26" s="13">
        <v>2747.5</v>
      </c>
      <c r="E26" s="13">
        <v>3375.4</v>
      </c>
      <c r="F26" s="13">
        <v>3447.2</v>
      </c>
      <c r="H26" s="35"/>
    </row>
    <row r="27" spans="1:9" ht="15.6">
      <c r="A27" s="43" t="s">
        <v>303</v>
      </c>
      <c r="B27" s="13">
        <v>228.5</v>
      </c>
      <c r="C27" s="13">
        <v>222.7</v>
      </c>
      <c r="D27" s="13">
        <v>227</v>
      </c>
      <c r="E27" s="13">
        <v>244.8</v>
      </c>
      <c r="F27" s="13">
        <v>272.2</v>
      </c>
      <c r="H27" s="35"/>
    </row>
    <row r="28" spans="1:9" ht="15.6">
      <c r="A28" s="43" t="s">
        <v>119</v>
      </c>
      <c r="B28" s="13">
        <v>7002.3</v>
      </c>
      <c r="C28" s="13">
        <v>8379.7999999999993</v>
      </c>
      <c r="D28" s="13">
        <v>9472.1</v>
      </c>
      <c r="E28" s="13">
        <v>12197.7</v>
      </c>
      <c r="F28" s="13">
        <v>13337.6</v>
      </c>
      <c r="H28" s="35"/>
    </row>
    <row r="29" spans="1:9" ht="15.6">
      <c r="A29" s="43" t="s">
        <v>314</v>
      </c>
      <c r="B29" s="13">
        <v>75887.7</v>
      </c>
      <c r="C29" s="13">
        <v>82744.800000000003</v>
      </c>
      <c r="D29" s="13">
        <v>86411.5</v>
      </c>
      <c r="E29" s="13">
        <v>94582.8</v>
      </c>
      <c r="F29" s="13">
        <v>104840.7</v>
      </c>
      <c r="H29" s="35"/>
    </row>
    <row r="30" spans="1:9" ht="15.6">
      <c r="A30" s="43" t="s">
        <v>320</v>
      </c>
      <c r="B30" s="13">
        <v>7407.9</v>
      </c>
      <c r="C30" s="13">
        <v>8311.1</v>
      </c>
      <c r="D30" s="13">
        <v>8047</v>
      </c>
      <c r="E30" s="13">
        <v>7945.3</v>
      </c>
      <c r="F30" s="13">
        <v>8581.7999999999993</v>
      </c>
      <c r="H30" s="35"/>
    </row>
    <row r="31" spans="1:9" ht="15.6">
      <c r="A31" s="43" t="s">
        <v>123</v>
      </c>
      <c r="B31" s="13">
        <v>7341.3</v>
      </c>
      <c r="C31" s="13">
        <v>8083.5</v>
      </c>
      <c r="D31" s="13">
        <v>10224.9</v>
      </c>
      <c r="E31" s="13">
        <v>10083.200000000001</v>
      </c>
      <c r="F31" s="13">
        <v>10672</v>
      </c>
      <c r="H31" s="35"/>
    </row>
    <row r="32" spans="1:9" ht="15.6">
      <c r="A32" s="43" t="s">
        <v>124</v>
      </c>
      <c r="B32" s="13">
        <v>2817.5</v>
      </c>
      <c r="C32" s="13">
        <v>2860.1</v>
      </c>
      <c r="D32" s="13">
        <v>2885</v>
      </c>
      <c r="E32" s="13">
        <v>2987.2</v>
      </c>
      <c r="F32" s="13">
        <v>3243.5</v>
      </c>
      <c r="H32" s="35"/>
    </row>
    <row r="33" spans="1:9" ht="15.6">
      <c r="A33" s="43" t="s">
        <v>336</v>
      </c>
      <c r="B33" s="13">
        <v>5261.1</v>
      </c>
      <c r="C33" s="13">
        <v>5463.6</v>
      </c>
      <c r="D33" s="13">
        <v>5625.4</v>
      </c>
      <c r="E33" s="13">
        <v>5964.2</v>
      </c>
      <c r="F33" s="13">
        <v>6535.1</v>
      </c>
      <c r="H33" s="35"/>
    </row>
    <row r="34" spans="1:9" ht="15.6">
      <c r="A34" s="43" t="s">
        <v>342</v>
      </c>
      <c r="B34" s="13">
        <v>2733.3</v>
      </c>
      <c r="C34" s="13">
        <v>3263.3</v>
      </c>
      <c r="D34" s="13">
        <v>3557.1</v>
      </c>
      <c r="E34" s="13">
        <v>3865.2</v>
      </c>
      <c r="F34" s="13">
        <v>4356.6000000000004</v>
      </c>
      <c r="H34" s="35">
        <f>F34/$F$64</f>
        <v>1.1412781655301301E-2</v>
      </c>
      <c r="I34" s="11">
        <f>RANK(H34,$H$3:$H$63,FALSE)</f>
        <v>12</v>
      </c>
    </row>
    <row r="35" spans="1:9" ht="15.6">
      <c r="A35" s="43" t="s">
        <v>127</v>
      </c>
      <c r="B35" s="13">
        <v>429.4</v>
      </c>
      <c r="C35" s="13">
        <v>502.3</v>
      </c>
      <c r="D35" s="13">
        <v>566.20000000000005</v>
      </c>
      <c r="E35" s="13">
        <v>679.3</v>
      </c>
      <c r="F35" s="13">
        <v>817.3</v>
      </c>
      <c r="H35" s="35"/>
    </row>
    <row r="36" spans="1:9" ht="15.6">
      <c r="A36" s="43" t="s">
        <v>353</v>
      </c>
      <c r="B36" s="13">
        <v>2303.9</v>
      </c>
      <c r="C36" s="13">
        <v>2761</v>
      </c>
      <c r="D36" s="13">
        <v>2990.9</v>
      </c>
      <c r="E36" s="13">
        <v>3185.9</v>
      </c>
      <c r="F36" s="13">
        <v>3539.2</v>
      </c>
      <c r="H36" s="35"/>
    </row>
    <row r="37" spans="1:9" ht="15.6">
      <c r="A37" s="43" t="s">
        <v>359</v>
      </c>
      <c r="B37" s="13">
        <v>279.60000000000002</v>
      </c>
      <c r="C37" s="13">
        <v>306.2</v>
      </c>
      <c r="D37" s="13">
        <v>322.39999999999998</v>
      </c>
      <c r="E37" s="13">
        <v>343.5</v>
      </c>
      <c r="F37" s="13">
        <v>388.9</v>
      </c>
      <c r="H37" s="35">
        <f t="shared" ref="H37:H39" si="0">F37/$F$64</f>
        <v>1.0187831762720184E-3</v>
      </c>
      <c r="I37" s="11">
        <f t="shared" ref="I37:I39" si="1">RANK(H37,$H$3:$H$63,FALSE)</f>
        <v>16</v>
      </c>
    </row>
    <row r="38" spans="1:9" ht="15.6">
      <c r="A38" s="43" t="s">
        <v>165</v>
      </c>
      <c r="B38" s="13">
        <v>53159.199999999997</v>
      </c>
      <c r="C38" s="13">
        <v>59057.2</v>
      </c>
      <c r="D38" s="13">
        <v>66985.100000000006</v>
      </c>
      <c r="E38" s="13">
        <v>71355.8</v>
      </c>
      <c r="F38" s="13">
        <v>75858.3</v>
      </c>
      <c r="H38" s="35">
        <f t="shared" si="0"/>
        <v>0.19872244746874687</v>
      </c>
      <c r="I38" s="11">
        <f t="shared" si="1"/>
        <v>2</v>
      </c>
    </row>
    <row r="39" spans="1:9" ht="15.6">
      <c r="A39" s="43" t="s">
        <v>370</v>
      </c>
      <c r="B39" s="13">
        <v>22474.9</v>
      </c>
      <c r="C39" s="13">
        <v>27343.4</v>
      </c>
      <c r="D39" s="13">
        <v>30166</v>
      </c>
      <c r="E39" s="13">
        <v>32602.6</v>
      </c>
      <c r="F39" s="13">
        <v>35965.800000000003</v>
      </c>
      <c r="H39" s="35">
        <f t="shared" si="0"/>
        <v>9.4217927387925338E-2</v>
      </c>
      <c r="I39" s="11">
        <f t="shared" si="1"/>
        <v>4</v>
      </c>
    </row>
    <row r="40" spans="1:9" ht="15.6">
      <c r="A40" s="43" t="s">
        <v>133</v>
      </c>
      <c r="B40" s="13">
        <v>5675.8</v>
      </c>
      <c r="C40" s="13">
        <v>6394</v>
      </c>
      <c r="D40" s="13">
        <v>6588.9</v>
      </c>
      <c r="E40" s="13">
        <v>7062.5</v>
      </c>
      <c r="F40" s="13">
        <v>6860.5</v>
      </c>
      <c r="H40" s="35"/>
    </row>
    <row r="41" spans="1:9" ht="15.6">
      <c r="A41" s="43" t="s">
        <v>382</v>
      </c>
      <c r="B41" s="13">
        <v>16799.099999999999</v>
      </c>
      <c r="C41" s="13">
        <v>20949.400000000001</v>
      </c>
      <c r="D41" s="13">
        <v>23577.1</v>
      </c>
      <c r="E41" s="13">
        <v>25540.2</v>
      </c>
      <c r="F41" s="13">
        <v>29105.3</v>
      </c>
      <c r="H41" s="35"/>
    </row>
    <row r="42" spans="1:9" ht="15.6">
      <c r="A42" s="43" t="s">
        <v>169</v>
      </c>
      <c r="B42" s="13">
        <v>3826.6</v>
      </c>
      <c r="C42" s="13">
        <v>5887.7</v>
      </c>
      <c r="D42" s="13">
        <v>6768.9</v>
      </c>
      <c r="E42" s="13">
        <v>7207.3</v>
      </c>
      <c r="F42" s="13">
        <v>7722.6</v>
      </c>
      <c r="H42" s="35">
        <f>F42/$F$64</f>
        <v>2.0230534731494703E-2</v>
      </c>
      <c r="I42" s="11">
        <f>RANK(H42,$H$3:$H$63,FALSE)</f>
        <v>9</v>
      </c>
    </row>
    <row r="43" spans="1:9" ht="15.6">
      <c r="A43" s="43" t="s">
        <v>135</v>
      </c>
      <c r="B43" s="13">
        <v>0</v>
      </c>
      <c r="C43" s="13">
        <v>0</v>
      </c>
      <c r="D43" s="13">
        <v>0</v>
      </c>
      <c r="E43" s="13">
        <v>0</v>
      </c>
      <c r="F43" s="13">
        <v>0</v>
      </c>
      <c r="H43" s="35"/>
    </row>
    <row r="44" spans="1:9" ht="15.6">
      <c r="A44" s="43" t="s">
        <v>136</v>
      </c>
      <c r="B44" s="13">
        <v>568.5</v>
      </c>
      <c r="C44" s="13">
        <v>862.5</v>
      </c>
      <c r="D44" s="13">
        <v>1117.3</v>
      </c>
      <c r="E44" s="13">
        <v>1181.7</v>
      </c>
      <c r="F44" s="13">
        <v>1242.4000000000001</v>
      </c>
      <c r="H44" s="35"/>
    </row>
    <row r="45" spans="1:9" ht="15.6">
      <c r="A45" s="43" t="s">
        <v>137</v>
      </c>
      <c r="B45" s="13">
        <v>1434.3</v>
      </c>
      <c r="C45" s="13">
        <v>2043.5</v>
      </c>
      <c r="D45" s="13">
        <v>2604.8000000000002</v>
      </c>
      <c r="E45" s="13">
        <v>2671.7</v>
      </c>
      <c r="F45" s="13">
        <v>3095.1</v>
      </c>
      <c r="H45" s="35"/>
    </row>
    <row r="46" spans="1:9" ht="15.6">
      <c r="A46" s="43" t="s">
        <v>138</v>
      </c>
      <c r="B46" s="13">
        <v>11.5</v>
      </c>
      <c r="C46" s="13">
        <v>12.6</v>
      </c>
      <c r="D46" s="13">
        <v>13.5</v>
      </c>
      <c r="E46" s="13">
        <v>13.7</v>
      </c>
      <c r="F46" s="13">
        <v>12.9</v>
      </c>
      <c r="H46" s="35"/>
    </row>
    <row r="47" spans="1:9" ht="15.6">
      <c r="A47" s="43" t="s">
        <v>139</v>
      </c>
      <c r="B47" s="13">
        <v>1482.6</v>
      </c>
      <c r="C47" s="13">
        <v>2565.8000000000002</v>
      </c>
      <c r="D47" s="13">
        <v>2548.1</v>
      </c>
      <c r="E47" s="13">
        <v>2845.9</v>
      </c>
      <c r="F47" s="13">
        <v>2825.6</v>
      </c>
      <c r="H47" s="35"/>
    </row>
    <row r="48" spans="1:9" ht="15.6">
      <c r="A48" s="43" t="s">
        <v>412</v>
      </c>
      <c r="B48" s="13">
        <v>329.7</v>
      </c>
      <c r="C48" s="13">
        <v>403.3</v>
      </c>
      <c r="D48" s="13">
        <v>485.1</v>
      </c>
      <c r="E48" s="13">
        <v>494.3</v>
      </c>
      <c r="F48" s="13">
        <v>546.6</v>
      </c>
      <c r="H48" s="35"/>
    </row>
    <row r="49" spans="1:9" ht="15.6">
      <c r="A49" s="43" t="s">
        <v>171</v>
      </c>
      <c r="B49" s="13">
        <v>3167.6</v>
      </c>
      <c r="C49" s="13">
        <v>4874.8999999999996</v>
      </c>
      <c r="D49" s="13">
        <v>6301.9</v>
      </c>
      <c r="E49" s="13">
        <v>6681.4</v>
      </c>
      <c r="F49" s="13">
        <v>6980</v>
      </c>
      <c r="H49" s="35">
        <f>F49/$F$64</f>
        <v>1.828518017582589E-2</v>
      </c>
      <c r="I49" s="11">
        <f>RANK(H49,$H$3:$H$63,FALSE)</f>
        <v>10</v>
      </c>
    </row>
    <row r="50" spans="1:9" ht="15.6">
      <c r="A50" s="43" t="s">
        <v>141</v>
      </c>
      <c r="B50" s="13">
        <v>1608.3</v>
      </c>
      <c r="C50" s="13">
        <v>2541.6</v>
      </c>
      <c r="D50" s="13">
        <v>3547.5</v>
      </c>
      <c r="E50" s="13">
        <v>3691.5</v>
      </c>
      <c r="F50" s="13">
        <v>3736.8</v>
      </c>
      <c r="H50" s="35"/>
    </row>
    <row r="51" spans="1:9" ht="15.6">
      <c r="A51" s="43" t="s">
        <v>142</v>
      </c>
      <c r="B51" s="13">
        <v>1559.3</v>
      </c>
      <c r="C51" s="13">
        <v>2333.3000000000002</v>
      </c>
      <c r="D51" s="13">
        <v>2754.4</v>
      </c>
      <c r="E51" s="13">
        <v>2989.9</v>
      </c>
      <c r="F51" s="13">
        <v>3243.2</v>
      </c>
      <c r="H51" s="35"/>
    </row>
    <row r="52" spans="1:9" ht="15.6">
      <c r="A52" s="43" t="s">
        <v>173</v>
      </c>
      <c r="B52" s="13">
        <v>7078.1</v>
      </c>
      <c r="C52" s="13">
        <v>7719.9</v>
      </c>
      <c r="D52" s="13">
        <v>9334.2000000000007</v>
      </c>
      <c r="E52" s="13">
        <v>9388.7999999999993</v>
      </c>
      <c r="F52" s="13">
        <v>9113.7000000000007</v>
      </c>
      <c r="H52" s="35">
        <f t="shared" ref="H52:H53" si="2">F52/$F$64</f>
        <v>2.3874734465390318E-2</v>
      </c>
      <c r="I52" s="11">
        <f t="shared" ref="I52:I53" si="3">RANK(H52,$H$3:$H$63,FALSE)</f>
        <v>7</v>
      </c>
    </row>
    <row r="53" spans="1:9" ht="15.6">
      <c r="A53" s="43" t="s">
        <v>437</v>
      </c>
      <c r="B53" s="13">
        <v>7191.8</v>
      </c>
      <c r="C53" s="13">
        <v>7906.3</v>
      </c>
      <c r="D53" s="13">
        <v>8823.2999999999993</v>
      </c>
      <c r="E53" s="13">
        <v>9644.2999999999993</v>
      </c>
      <c r="F53" s="13">
        <v>10228.5</v>
      </c>
      <c r="H53" s="35">
        <f t="shared" si="2"/>
        <v>2.6795123986881823E-2</v>
      </c>
      <c r="I53" s="11">
        <f t="shared" si="3"/>
        <v>6</v>
      </c>
    </row>
    <row r="54" spans="1:9" ht="15.6">
      <c r="A54" s="43" t="s">
        <v>443</v>
      </c>
      <c r="B54" s="13">
        <v>4083.9</v>
      </c>
      <c r="C54" s="13">
        <v>4690.1000000000004</v>
      </c>
      <c r="D54" s="13">
        <v>5384.4</v>
      </c>
      <c r="E54" s="13">
        <v>6004.9</v>
      </c>
      <c r="F54" s="13">
        <v>6439.4</v>
      </c>
      <c r="H54" s="35"/>
    </row>
    <row r="55" spans="1:9" ht="15.6">
      <c r="A55" s="43" t="s">
        <v>144</v>
      </c>
      <c r="B55" s="13">
        <v>3037.1</v>
      </c>
      <c r="C55" s="13">
        <v>3143.3</v>
      </c>
      <c r="D55" s="13">
        <v>3356.9</v>
      </c>
      <c r="E55" s="13">
        <v>3551.1</v>
      </c>
      <c r="F55" s="13">
        <v>3692.5</v>
      </c>
      <c r="H55" s="35"/>
    </row>
    <row r="56" spans="1:9" ht="15.6">
      <c r="A56" s="43" t="s">
        <v>145</v>
      </c>
      <c r="B56" s="13">
        <v>45.6</v>
      </c>
      <c r="C56" s="13">
        <v>46.5</v>
      </c>
      <c r="D56" s="13">
        <v>50.4</v>
      </c>
      <c r="E56" s="13">
        <v>54.7</v>
      </c>
      <c r="F56" s="13">
        <v>59</v>
      </c>
      <c r="H56" s="35"/>
    </row>
    <row r="57" spans="1:9" ht="15.6">
      <c r="A57" s="43" t="s">
        <v>146</v>
      </c>
      <c r="B57" s="13">
        <v>25.1</v>
      </c>
      <c r="C57" s="13">
        <v>26.3</v>
      </c>
      <c r="D57" s="13">
        <v>31.7</v>
      </c>
      <c r="E57" s="13">
        <v>33.700000000000003</v>
      </c>
      <c r="F57" s="13">
        <v>37.6</v>
      </c>
      <c r="H57" s="35"/>
    </row>
    <row r="58" spans="1:9" ht="15.6">
      <c r="A58" s="43" t="s">
        <v>464</v>
      </c>
      <c r="B58" s="13">
        <v>3116.6</v>
      </c>
      <c r="C58" s="13">
        <v>3353.5</v>
      </c>
      <c r="D58" s="13">
        <v>3640</v>
      </c>
      <c r="E58" s="13">
        <v>3882.7</v>
      </c>
      <c r="F58" s="13">
        <v>4159.7</v>
      </c>
      <c r="H58" s="35">
        <f t="shared" ref="H58:H63" si="4">F58/$F$64</f>
        <v>1.089697191653051E-2</v>
      </c>
      <c r="I58" s="11">
        <f t="shared" ref="I58:I63" si="5">RANK(H58,$H$3:$H$63,FALSE)</f>
        <v>13</v>
      </c>
    </row>
    <row r="59" spans="1:9" ht="15.6">
      <c r="A59" s="43" t="s">
        <v>179</v>
      </c>
      <c r="B59" s="13">
        <v>6.6</v>
      </c>
      <c r="C59" s="13">
        <v>8.8000000000000007</v>
      </c>
      <c r="D59" s="13">
        <v>11.1</v>
      </c>
      <c r="E59" s="13">
        <v>12</v>
      </c>
      <c r="F59" s="13">
        <v>14.2</v>
      </c>
      <c r="H59" s="35">
        <f t="shared" si="4"/>
        <v>3.7199077148528316E-5</v>
      </c>
      <c r="I59" s="11">
        <f t="shared" si="5"/>
        <v>17</v>
      </c>
    </row>
    <row r="60" spans="1:9" ht="15.6">
      <c r="A60" s="43" t="s">
        <v>181</v>
      </c>
      <c r="B60" s="13">
        <v>6698</v>
      </c>
      <c r="C60" s="13">
        <v>7202.8</v>
      </c>
      <c r="D60" s="13">
        <v>7886.5</v>
      </c>
      <c r="E60" s="13">
        <v>9223.4</v>
      </c>
      <c r="F60" s="13">
        <v>8873.9</v>
      </c>
      <c r="H60" s="35">
        <f t="shared" si="4"/>
        <v>2.3246541599177845E-2</v>
      </c>
      <c r="I60" s="11">
        <f t="shared" si="5"/>
        <v>8</v>
      </c>
    </row>
    <row r="61" spans="1:9" ht="15.6">
      <c r="A61" s="43" t="s">
        <v>183</v>
      </c>
      <c r="B61" s="13">
        <v>3878.5</v>
      </c>
      <c r="C61" s="13">
        <v>4182.8999999999996</v>
      </c>
      <c r="D61" s="13">
        <v>4416.3</v>
      </c>
      <c r="E61" s="13">
        <v>4702.6000000000004</v>
      </c>
      <c r="F61" s="13">
        <v>5092.3999999999996</v>
      </c>
      <c r="H61" s="35">
        <f t="shared" si="4"/>
        <v>1.3340322568391943E-2</v>
      </c>
      <c r="I61" s="11">
        <f t="shared" si="5"/>
        <v>11</v>
      </c>
    </row>
    <row r="62" spans="1:9" ht="15.6">
      <c r="A62" s="43" t="s">
        <v>185</v>
      </c>
      <c r="B62" s="13">
        <v>2571.8000000000002</v>
      </c>
      <c r="C62" s="13">
        <v>2646.3</v>
      </c>
      <c r="D62" s="13">
        <v>2578.6999999999998</v>
      </c>
      <c r="E62" s="13">
        <v>3124.1</v>
      </c>
      <c r="F62" s="13">
        <v>3273.1</v>
      </c>
      <c r="H62" s="35">
        <f t="shared" si="4"/>
        <v>8.5743872827357768E-3</v>
      </c>
      <c r="I62" s="11">
        <f t="shared" si="5"/>
        <v>14</v>
      </c>
    </row>
    <row r="63" spans="1:9" ht="15.6">
      <c r="A63" s="43" t="s">
        <v>490</v>
      </c>
      <c r="B63" s="13">
        <v>430</v>
      </c>
      <c r="C63" s="13">
        <v>786.5</v>
      </c>
      <c r="D63" s="13">
        <v>994.4</v>
      </c>
      <c r="E63" s="13">
        <v>1175.9000000000001</v>
      </c>
      <c r="F63" s="13">
        <v>1231.5999999999999</v>
      </c>
      <c r="H63" s="35">
        <f t="shared" si="4"/>
        <v>3.2263650293047515E-3</v>
      </c>
      <c r="I63" s="11">
        <f t="shared" si="5"/>
        <v>15</v>
      </c>
    </row>
    <row r="64" spans="1:9" ht="15.6">
      <c r="A64" s="43" t="s">
        <v>496</v>
      </c>
      <c r="B64" s="13">
        <v>275622.90000000002</v>
      </c>
      <c r="C64" s="13">
        <v>308739.7</v>
      </c>
      <c r="D64" s="13">
        <v>331644.5</v>
      </c>
      <c r="E64" s="13">
        <v>352436.4</v>
      </c>
      <c r="F64" s="13">
        <v>381729.9</v>
      </c>
      <c r="H64" s="35">
        <f>SUM(H3:H63)</f>
        <v>1.0000002619653321</v>
      </c>
    </row>
    <row r="65" spans="1:8" ht="15.6">
      <c r="A65" s="43" t="s">
        <v>502</v>
      </c>
      <c r="B65" s="13">
        <v>245866.2</v>
      </c>
      <c r="C65" s="13">
        <v>275393.59999999998</v>
      </c>
      <c r="D65" s="13">
        <v>300922.2</v>
      </c>
      <c r="E65" s="13">
        <v>323886.8</v>
      </c>
      <c r="F65" s="13">
        <v>349136.5</v>
      </c>
    </row>
    <row r="66" spans="1:8" ht="15.6">
      <c r="A66" s="43"/>
      <c r="B66" s="43"/>
      <c r="C66" s="43"/>
      <c r="D66" s="43"/>
      <c r="E66" s="43"/>
      <c r="F66" s="43"/>
      <c r="H66" s="11">
        <f>SUM(F34,F37,F42,F49,F52,F53,F58,F59,F60,F61,F62,F63,)</f>
        <v>61435.199999999997</v>
      </c>
    </row>
    <row r="67" spans="1:8" ht="15.6">
      <c r="A67" s="43" t="s">
        <v>508</v>
      </c>
      <c r="B67" s="43" t="s">
        <v>509</v>
      </c>
      <c r="C67" s="43" t="s">
        <v>510</v>
      </c>
      <c r="D67" s="43" t="s">
        <v>511</v>
      </c>
      <c r="E67" s="43"/>
      <c r="F67" s="43"/>
    </row>
  </sheetData>
  <mergeCells count="2">
    <mergeCell ref="A1:A2"/>
    <mergeCell ref="B1: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00FF"/>
    <outlinePr summaryBelow="0" summaryRight="0"/>
  </sheetPr>
  <dimension ref="A1:F11"/>
  <sheetViews>
    <sheetView workbookViewId="0"/>
  </sheetViews>
  <sheetFormatPr defaultColWidth="12.6640625" defaultRowHeight="15.75" customHeight="1"/>
  <sheetData>
    <row r="1" spans="1:6" ht="15.75" customHeight="1">
      <c r="A1" s="67" t="s">
        <v>578</v>
      </c>
      <c r="B1" s="67" t="s">
        <v>583</v>
      </c>
      <c r="C1" s="60"/>
      <c r="D1" s="60"/>
      <c r="E1" s="60"/>
      <c r="F1" s="43"/>
    </row>
    <row r="2" spans="1:6" ht="15.75" customHeight="1">
      <c r="A2" s="60"/>
      <c r="B2" s="13">
        <v>2021</v>
      </c>
      <c r="C2" s="13">
        <v>2022</v>
      </c>
      <c r="D2" s="13">
        <v>2023</v>
      </c>
      <c r="E2" s="13">
        <v>2024</v>
      </c>
      <c r="F2" s="13">
        <v>2025</v>
      </c>
    </row>
    <row r="3" spans="1:6" ht="15.75" customHeight="1">
      <c r="A3" s="43" t="s">
        <v>593</v>
      </c>
      <c r="B3" s="13" t="s">
        <v>594</v>
      </c>
      <c r="C3" s="13" t="s">
        <v>595</v>
      </c>
      <c r="D3" s="13" t="s">
        <v>596</v>
      </c>
      <c r="E3" s="13" t="s">
        <v>598</v>
      </c>
      <c r="F3" s="13">
        <v>43365</v>
      </c>
    </row>
    <row r="4" spans="1:6" ht="15.75" customHeight="1">
      <c r="A4" s="43" t="s">
        <v>600</v>
      </c>
      <c r="B4" s="13" t="s">
        <v>602</v>
      </c>
      <c r="C4" s="13" t="s">
        <v>604</v>
      </c>
      <c r="D4" s="13" t="s">
        <v>605</v>
      </c>
      <c r="E4" s="13" t="s">
        <v>606</v>
      </c>
      <c r="F4" s="13">
        <v>110474</v>
      </c>
    </row>
    <row r="5" spans="1:6" ht="15.75" customHeight="1">
      <c r="A5" s="43" t="s">
        <v>607</v>
      </c>
      <c r="B5" s="13" t="s">
        <v>609</v>
      </c>
      <c r="C5" s="13" t="s">
        <v>611</v>
      </c>
      <c r="D5" s="13" t="s">
        <v>612</v>
      </c>
      <c r="E5" s="13" t="s">
        <v>614</v>
      </c>
      <c r="F5" s="13">
        <v>181596</v>
      </c>
    </row>
    <row r="6" spans="1:6" ht="15.75" customHeight="1">
      <c r="A6" s="43" t="s">
        <v>617</v>
      </c>
      <c r="B6" s="13" t="s">
        <v>618</v>
      </c>
      <c r="C6" s="13" t="s">
        <v>619</v>
      </c>
      <c r="D6" s="13" t="s">
        <v>620</v>
      </c>
      <c r="E6" s="13" t="s">
        <v>621</v>
      </c>
      <c r="F6" s="13">
        <v>33764</v>
      </c>
    </row>
    <row r="7" spans="1:6" ht="15.75" customHeight="1">
      <c r="A7" s="43" t="s">
        <v>623</v>
      </c>
      <c r="B7" s="13" t="s">
        <v>625</v>
      </c>
      <c r="C7" s="13" t="s">
        <v>626</v>
      </c>
      <c r="D7" s="13" t="s">
        <v>628</v>
      </c>
      <c r="E7" s="13" t="s">
        <v>630</v>
      </c>
      <c r="F7" s="13">
        <v>242118</v>
      </c>
    </row>
    <row r="8" spans="1:6" ht="15.75" customHeight="1">
      <c r="A8" s="43" t="s">
        <v>632</v>
      </c>
      <c r="B8" s="13" t="s">
        <v>633</v>
      </c>
      <c r="C8" s="13" t="s">
        <v>634</v>
      </c>
      <c r="D8" s="13" t="s">
        <v>635</v>
      </c>
      <c r="E8" s="13" t="s">
        <v>636</v>
      </c>
      <c r="F8" s="13">
        <v>111549</v>
      </c>
    </row>
    <row r="9" spans="1:6" ht="15.75" customHeight="1">
      <c r="A9" s="43" t="s">
        <v>639</v>
      </c>
      <c r="B9" s="13" t="s">
        <v>641</v>
      </c>
      <c r="C9" s="13" t="s">
        <v>643</v>
      </c>
      <c r="D9" s="13" t="s">
        <v>645</v>
      </c>
      <c r="E9" s="13" t="s">
        <v>646</v>
      </c>
      <c r="F9" s="13">
        <v>68434</v>
      </c>
    </row>
    <row r="10" spans="1:6" ht="15.75" customHeight="1">
      <c r="A10" s="43"/>
      <c r="B10" s="43"/>
      <c r="C10" s="43"/>
      <c r="D10" s="43"/>
      <c r="E10" s="43"/>
      <c r="F10" s="43"/>
    </row>
    <row r="11" spans="1:6" ht="15.75" customHeight="1">
      <c r="A11" s="43" t="s">
        <v>508</v>
      </c>
      <c r="B11" s="43" t="s">
        <v>509</v>
      </c>
      <c r="C11" s="43" t="s">
        <v>510</v>
      </c>
      <c r="D11" s="67" t="s">
        <v>511</v>
      </c>
      <c r="E11" s="60"/>
      <c r="F11" s="60"/>
    </row>
  </sheetData>
  <mergeCells count="3">
    <mergeCell ref="A1:A2"/>
    <mergeCell ref="B1:E1"/>
    <mergeCell ref="D11:F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FF"/>
    <outlinePr summaryBelow="0" summaryRight="0"/>
  </sheetPr>
  <dimension ref="A1:F11"/>
  <sheetViews>
    <sheetView workbookViewId="0"/>
  </sheetViews>
  <sheetFormatPr defaultColWidth="12.6640625" defaultRowHeight="15.75" customHeight="1"/>
  <sheetData>
    <row r="1" spans="1:6" ht="15.75" customHeight="1">
      <c r="A1" s="67" t="s">
        <v>828</v>
      </c>
      <c r="B1" s="67" t="s">
        <v>829</v>
      </c>
      <c r="C1" s="60"/>
      <c r="D1" s="60"/>
      <c r="E1" s="60"/>
      <c r="F1" s="43"/>
    </row>
    <row r="2" spans="1:6" ht="15.75" customHeight="1">
      <c r="A2" s="60"/>
      <c r="B2" s="13">
        <v>2021</v>
      </c>
      <c r="C2" s="13">
        <v>2022</v>
      </c>
      <c r="D2" s="13">
        <v>2023</v>
      </c>
      <c r="E2" s="13">
        <v>2024</v>
      </c>
      <c r="F2" s="13">
        <v>2025</v>
      </c>
    </row>
    <row r="3" spans="1:6" ht="15.75" customHeight="1">
      <c r="A3" s="43" t="s">
        <v>593</v>
      </c>
      <c r="B3" s="13" t="s">
        <v>830</v>
      </c>
      <c r="C3" s="13" t="s">
        <v>831</v>
      </c>
      <c r="D3" s="13" t="s">
        <v>832</v>
      </c>
      <c r="E3" s="13" t="s">
        <v>833</v>
      </c>
      <c r="F3" s="13">
        <v>74982</v>
      </c>
    </row>
    <row r="4" spans="1:6" ht="15.75" customHeight="1">
      <c r="A4" s="43" t="s">
        <v>600</v>
      </c>
      <c r="B4" s="13" t="s">
        <v>834</v>
      </c>
      <c r="C4" s="13" t="s">
        <v>835</v>
      </c>
      <c r="D4" s="13" t="s">
        <v>836</v>
      </c>
      <c r="E4" s="13" t="s">
        <v>837</v>
      </c>
      <c r="F4" s="13">
        <v>193677</v>
      </c>
    </row>
    <row r="5" spans="1:6" ht="15.75" customHeight="1">
      <c r="A5" s="43" t="s">
        <v>607</v>
      </c>
      <c r="B5" s="13" t="s">
        <v>838</v>
      </c>
      <c r="C5" s="13" t="s">
        <v>839</v>
      </c>
      <c r="D5" s="13" t="s">
        <v>840</v>
      </c>
      <c r="E5" s="13" t="s">
        <v>841</v>
      </c>
      <c r="F5" s="13">
        <v>281436</v>
      </c>
    </row>
    <row r="6" spans="1:6" ht="15.75" customHeight="1">
      <c r="A6" s="43" t="s">
        <v>617</v>
      </c>
      <c r="B6" s="13" t="s">
        <v>842</v>
      </c>
      <c r="C6" s="13" t="s">
        <v>843</v>
      </c>
      <c r="D6" s="13" t="s">
        <v>844</v>
      </c>
      <c r="E6" s="13" t="s">
        <v>845</v>
      </c>
      <c r="F6" s="13">
        <v>57827</v>
      </c>
    </row>
    <row r="7" spans="1:6" ht="15.75" customHeight="1">
      <c r="A7" s="43" t="s">
        <v>623</v>
      </c>
      <c r="B7" s="13" t="s">
        <v>846</v>
      </c>
      <c r="C7" s="13" t="s">
        <v>847</v>
      </c>
      <c r="D7" s="13" t="s">
        <v>848</v>
      </c>
      <c r="E7" s="13" t="s">
        <v>849</v>
      </c>
      <c r="F7" s="13">
        <v>399577</v>
      </c>
    </row>
    <row r="8" spans="1:6" ht="15.75" customHeight="1">
      <c r="A8" s="43" t="s">
        <v>632</v>
      </c>
      <c r="B8" s="13" t="s">
        <v>850</v>
      </c>
      <c r="C8" s="13" t="s">
        <v>851</v>
      </c>
      <c r="D8" s="13" t="s">
        <v>852</v>
      </c>
      <c r="E8" s="13" t="s">
        <v>853</v>
      </c>
      <c r="F8" s="13">
        <v>195565</v>
      </c>
    </row>
    <row r="9" spans="1:6" ht="15.75" customHeight="1">
      <c r="A9" s="43" t="s">
        <v>639</v>
      </c>
      <c r="B9" s="13" t="s">
        <v>854</v>
      </c>
      <c r="C9" s="13" t="s">
        <v>855</v>
      </c>
      <c r="D9" s="13" t="s">
        <v>856</v>
      </c>
      <c r="E9" s="13">
        <v>105384</v>
      </c>
      <c r="F9" s="13">
        <v>111013</v>
      </c>
    </row>
    <row r="10" spans="1:6" ht="15.75" customHeight="1">
      <c r="A10" s="43"/>
      <c r="B10" s="43"/>
      <c r="C10" s="43"/>
      <c r="D10" s="43"/>
      <c r="E10" s="43"/>
      <c r="F10" s="43"/>
    </row>
    <row r="11" spans="1:6" ht="15.75" customHeight="1">
      <c r="A11" s="43" t="s">
        <v>508</v>
      </c>
      <c r="B11" s="43" t="s">
        <v>509</v>
      </c>
      <c r="C11" s="43" t="s">
        <v>510</v>
      </c>
      <c r="D11" s="67" t="s">
        <v>511</v>
      </c>
      <c r="E11" s="60"/>
      <c r="F11" s="60"/>
    </row>
  </sheetData>
  <mergeCells count="3">
    <mergeCell ref="A1:A2"/>
    <mergeCell ref="B1:E1"/>
    <mergeCell ref="D11:F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E18"/>
  <sheetViews>
    <sheetView workbookViewId="0"/>
  </sheetViews>
  <sheetFormatPr defaultColWidth="12.6640625" defaultRowHeight="15.75" customHeight="1"/>
  <sheetData>
    <row r="1" spans="1:5">
      <c r="A1" s="68" t="s">
        <v>857</v>
      </c>
      <c r="B1" s="60"/>
      <c r="C1" s="60"/>
      <c r="D1" s="60"/>
      <c r="E1" s="60"/>
    </row>
    <row r="2" spans="1:5">
      <c r="A2" s="44" t="s">
        <v>5</v>
      </c>
      <c r="B2" s="45" t="s">
        <v>858</v>
      </c>
      <c r="C2" s="45" t="s">
        <v>859</v>
      </c>
      <c r="D2" s="45" t="s">
        <v>860</v>
      </c>
      <c r="E2" s="45" t="s">
        <v>861</v>
      </c>
    </row>
    <row r="3" spans="1:5">
      <c r="A3" s="27">
        <v>2021</v>
      </c>
      <c r="B3" s="46" t="s">
        <v>862</v>
      </c>
      <c r="C3" s="46" t="s">
        <v>863</v>
      </c>
      <c r="D3" s="46" t="s">
        <v>864</v>
      </c>
      <c r="E3" s="46" t="s">
        <v>865</v>
      </c>
    </row>
    <row r="4" spans="1:5">
      <c r="A4" s="27">
        <v>2022</v>
      </c>
      <c r="B4" s="46" t="s">
        <v>866</v>
      </c>
      <c r="C4" s="46" t="s">
        <v>867</v>
      </c>
      <c r="D4" s="46" t="s">
        <v>868</v>
      </c>
      <c r="E4" s="46" t="s">
        <v>869</v>
      </c>
    </row>
    <row r="5" spans="1:5">
      <c r="A5" s="27">
        <v>2023</v>
      </c>
      <c r="B5" s="46" t="s">
        <v>870</v>
      </c>
      <c r="C5" s="46" t="s">
        <v>871</v>
      </c>
      <c r="D5" s="46" t="s">
        <v>872</v>
      </c>
      <c r="E5" s="46" t="s">
        <v>873</v>
      </c>
    </row>
    <row r="6" spans="1:5">
      <c r="A6" s="27">
        <v>2024</v>
      </c>
      <c r="B6" s="46" t="s">
        <v>874</v>
      </c>
      <c r="C6" s="46" t="s">
        <v>875</v>
      </c>
      <c r="D6" s="46" t="s">
        <v>876</v>
      </c>
      <c r="E6" s="46" t="s">
        <v>877</v>
      </c>
    </row>
    <row r="7" spans="1:5">
      <c r="A7" s="27">
        <v>2025</v>
      </c>
      <c r="B7" s="46" t="s">
        <v>878</v>
      </c>
      <c r="C7" s="46" t="s">
        <v>879</v>
      </c>
      <c r="D7" s="46" t="s">
        <v>880</v>
      </c>
      <c r="E7" s="46" t="s">
        <v>881</v>
      </c>
    </row>
    <row r="8" spans="1:5">
      <c r="A8" s="27">
        <v>2026</v>
      </c>
      <c r="B8" s="46" t="s">
        <v>882</v>
      </c>
      <c r="C8" s="46" t="s">
        <v>102</v>
      </c>
      <c r="D8" s="46" t="s">
        <v>102</v>
      </c>
      <c r="E8" s="46" t="s">
        <v>102</v>
      </c>
    </row>
    <row r="11" spans="1:5">
      <c r="A11" s="68" t="s">
        <v>883</v>
      </c>
      <c r="B11" s="60"/>
      <c r="C11" s="60"/>
      <c r="D11" s="60"/>
      <c r="E11" s="60"/>
    </row>
    <row r="12" spans="1:5">
      <c r="A12" s="44" t="s">
        <v>5</v>
      </c>
      <c r="B12" s="45" t="s">
        <v>858</v>
      </c>
      <c r="C12" s="45" t="s">
        <v>859</v>
      </c>
      <c r="D12" s="45" t="s">
        <v>860</v>
      </c>
      <c r="E12" s="45" t="s">
        <v>861</v>
      </c>
    </row>
    <row r="13" spans="1:5">
      <c r="A13" s="27">
        <v>2021</v>
      </c>
      <c r="B13" s="46" t="s">
        <v>884</v>
      </c>
      <c r="C13" s="46" t="s">
        <v>885</v>
      </c>
      <c r="D13" s="46" t="s">
        <v>886</v>
      </c>
      <c r="E13" s="46" t="s">
        <v>887</v>
      </c>
    </row>
    <row r="14" spans="1:5">
      <c r="A14" s="27">
        <v>2022</v>
      </c>
      <c r="B14" s="46" t="s">
        <v>888</v>
      </c>
      <c r="C14" s="46" t="s">
        <v>889</v>
      </c>
      <c r="D14" s="46" t="s">
        <v>890</v>
      </c>
      <c r="E14" s="46" t="s">
        <v>891</v>
      </c>
    </row>
    <row r="15" spans="1:5">
      <c r="A15" s="27">
        <v>2023</v>
      </c>
      <c r="B15" s="46" t="s">
        <v>892</v>
      </c>
      <c r="C15" s="46" t="s">
        <v>893</v>
      </c>
      <c r="D15" s="46" t="s">
        <v>894</v>
      </c>
      <c r="E15" s="46" t="s">
        <v>895</v>
      </c>
    </row>
    <row r="16" spans="1:5">
      <c r="A16" s="27">
        <v>2024</v>
      </c>
      <c r="B16" s="46" t="s">
        <v>896</v>
      </c>
      <c r="C16" s="46" t="s">
        <v>897</v>
      </c>
      <c r="D16" s="46" t="s">
        <v>893</v>
      </c>
      <c r="E16" s="46" t="s">
        <v>898</v>
      </c>
    </row>
    <row r="17" spans="1:5">
      <c r="A17" s="27">
        <v>2025</v>
      </c>
      <c r="B17" s="46" t="s">
        <v>899</v>
      </c>
      <c r="C17" s="46" t="s">
        <v>900</v>
      </c>
      <c r="D17" s="46" t="s">
        <v>901</v>
      </c>
      <c r="E17" s="46" t="s">
        <v>902</v>
      </c>
    </row>
    <row r="18" spans="1:5">
      <c r="A18" s="27">
        <v>2026</v>
      </c>
      <c r="B18" s="46" t="s">
        <v>903</v>
      </c>
      <c r="C18" s="46" t="s">
        <v>102</v>
      </c>
      <c r="D18" s="46" t="s">
        <v>102</v>
      </c>
      <c r="E18" s="46" t="s">
        <v>102</v>
      </c>
    </row>
  </sheetData>
  <mergeCells count="2">
    <mergeCell ref="A1:E1"/>
    <mergeCell ref="A11:E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20"/>
  <sheetViews>
    <sheetView workbookViewId="0"/>
  </sheetViews>
  <sheetFormatPr defaultColWidth="12.6640625" defaultRowHeight="15.75" customHeight="1"/>
  <cols>
    <col min="1" max="1" width="28.88671875" customWidth="1"/>
  </cols>
  <sheetData>
    <row r="1" spans="1:6">
      <c r="A1" s="11" t="s">
        <v>2</v>
      </c>
      <c r="B1" s="11">
        <v>2021</v>
      </c>
      <c r="C1" s="11">
        <v>2022</v>
      </c>
      <c r="D1" s="11">
        <v>2023</v>
      </c>
      <c r="E1" s="11" t="s">
        <v>86</v>
      </c>
      <c r="F1" s="11" t="s">
        <v>87</v>
      </c>
    </row>
    <row r="2" spans="1:6">
      <c r="A2" s="11" t="s">
        <v>904</v>
      </c>
      <c r="B2" s="11" t="s">
        <v>905</v>
      </c>
      <c r="C2" s="11" t="s">
        <v>906</v>
      </c>
      <c r="D2" s="11" t="s">
        <v>907</v>
      </c>
      <c r="E2" s="11" t="s">
        <v>908</v>
      </c>
      <c r="F2" s="11" t="s">
        <v>909</v>
      </c>
    </row>
    <row r="3" spans="1:6">
      <c r="A3" s="11" t="s">
        <v>910</v>
      </c>
      <c r="B3" s="11" t="s">
        <v>911</v>
      </c>
      <c r="C3" s="11" t="s">
        <v>912</v>
      </c>
      <c r="D3" s="11" t="s">
        <v>913</v>
      </c>
      <c r="E3" s="11" t="s">
        <v>914</v>
      </c>
      <c r="F3" s="11" t="s">
        <v>915</v>
      </c>
    </row>
    <row r="4" spans="1:6">
      <c r="A4" s="11" t="s">
        <v>916</v>
      </c>
      <c r="B4" s="11" t="s">
        <v>917</v>
      </c>
      <c r="C4" s="11" t="s">
        <v>918</v>
      </c>
      <c r="D4" s="11" t="s">
        <v>919</v>
      </c>
      <c r="E4" s="11" t="s">
        <v>920</v>
      </c>
      <c r="F4" s="11" t="s">
        <v>921</v>
      </c>
    </row>
    <row r="5" spans="1:6">
      <c r="A5" s="11" t="s">
        <v>922</v>
      </c>
      <c r="B5" s="11" t="s">
        <v>923</v>
      </c>
      <c r="C5" s="11" t="s">
        <v>924</v>
      </c>
      <c r="D5" s="11" t="s">
        <v>925</v>
      </c>
      <c r="E5" s="11" t="s">
        <v>926</v>
      </c>
      <c r="F5" s="11" t="s">
        <v>927</v>
      </c>
    </row>
    <row r="6" spans="1:6">
      <c r="A6" s="11" t="s">
        <v>928</v>
      </c>
      <c r="B6" s="11" t="s">
        <v>929</v>
      </c>
      <c r="C6" s="11" t="s">
        <v>930</v>
      </c>
      <c r="D6" s="11" t="s">
        <v>931</v>
      </c>
      <c r="E6" s="11" t="s">
        <v>932</v>
      </c>
      <c r="F6" s="11" t="s">
        <v>929</v>
      </c>
    </row>
    <row r="8" spans="1:6">
      <c r="A8" s="11" t="s">
        <v>933</v>
      </c>
    </row>
    <row r="9" spans="1:6">
      <c r="A9" s="11" t="s">
        <v>934</v>
      </c>
    </row>
    <row r="10" spans="1:6">
      <c r="A10" s="11" t="s">
        <v>935</v>
      </c>
    </row>
    <row r="13" spans="1:6">
      <c r="A13" s="59" t="s">
        <v>936</v>
      </c>
      <c r="B13" s="60"/>
      <c r="C13" s="60"/>
      <c r="D13" s="60"/>
      <c r="E13" s="60"/>
      <c r="F13" s="60"/>
    </row>
    <row r="14" spans="1:6" ht="15.75" customHeight="1">
      <c r="A14" s="60"/>
      <c r="B14" s="60"/>
      <c r="C14" s="60"/>
      <c r="D14" s="60"/>
      <c r="E14" s="60"/>
      <c r="F14" s="60"/>
    </row>
    <row r="15" spans="1:6" ht="15.75" customHeight="1">
      <c r="A15" s="60"/>
      <c r="B15" s="60"/>
      <c r="C15" s="60"/>
      <c r="D15" s="60"/>
      <c r="E15" s="60"/>
      <c r="F15" s="60"/>
    </row>
    <row r="16" spans="1:6" ht="15.75" customHeight="1">
      <c r="A16" s="60"/>
      <c r="B16" s="60"/>
      <c r="C16" s="60"/>
      <c r="D16" s="60"/>
      <c r="E16" s="60"/>
      <c r="F16" s="60"/>
    </row>
    <row r="17" spans="1:6" ht="15.75" customHeight="1">
      <c r="A17" s="60"/>
      <c r="B17" s="60"/>
      <c r="C17" s="60"/>
      <c r="D17" s="60"/>
      <c r="E17" s="60"/>
      <c r="F17" s="60"/>
    </row>
    <row r="18" spans="1:6" ht="15.75" customHeight="1">
      <c r="A18" s="60"/>
      <c r="B18" s="60"/>
      <c r="C18" s="60"/>
      <c r="D18" s="60"/>
      <c r="E18" s="60"/>
      <c r="F18" s="60"/>
    </row>
    <row r="19" spans="1:6" ht="15.75" customHeight="1">
      <c r="A19" s="60"/>
      <c r="B19" s="60"/>
      <c r="C19" s="60"/>
      <c r="D19" s="60"/>
      <c r="E19" s="60"/>
      <c r="F19" s="60"/>
    </row>
    <row r="20" spans="1:6" ht="15.75" customHeight="1">
      <c r="A20" s="60"/>
      <c r="B20" s="60"/>
      <c r="C20" s="60"/>
      <c r="D20" s="60"/>
      <c r="E20" s="60"/>
      <c r="F20" s="60"/>
    </row>
  </sheetData>
  <mergeCells count="1">
    <mergeCell ref="A13:F2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J21"/>
  <sheetViews>
    <sheetView workbookViewId="0"/>
  </sheetViews>
  <sheetFormatPr defaultColWidth="12.6640625" defaultRowHeight="15.75" customHeight="1"/>
  <cols>
    <col min="2" max="2" width="25.44140625" customWidth="1"/>
  </cols>
  <sheetData>
    <row r="1" spans="1:10">
      <c r="A1" s="47"/>
    </row>
    <row r="2" spans="1:10" ht="15.75" customHeight="1">
      <c r="B2" s="48" t="s">
        <v>2</v>
      </c>
      <c r="C2" s="48">
        <v>2021</v>
      </c>
      <c r="D2" s="48">
        <v>2022</v>
      </c>
      <c r="E2" s="48">
        <v>2023</v>
      </c>
      <c r="F2" s="48" t="s">
        <v>86</v>
      </c>
      <c r="G2" s="48" t="s">
        <v>87</v>
      </c>
      <c r="I2" s="49" t="s">
        <v>5</v>
      </c>
      <c r="J2" s="49" t="s">
        <v>73</v>
      </c>
    </row>
    <row r="3" spans="1:10" ht="15.75" customHeight="1">
      <c r="B3" s="50" t="s">
        <v>937</v>
      </c>
      <c r="C3" s="50" t="s">
        <v>938</v>
      </c>
      <c r="D3" s="50" t="s">
        <v>939</v>
      </c>
      <c r="E3" s="50" t="s">
        <v>940</v>
      </c>
      <c r="F3" s="50" t="s">
        <v>941</v>
      </c>
      <c r="G3" s="50" t="s">
        <v>942</v>
      </c>
      <c r="I3" s="49">
        <v>2021</v>
      </c>
      <c r="J3" s="49">
        <v>12.02</v>
      </c>
    </row>
    <row r="4" spans="1:10" ht="15.75" customHeight="1">
      <c r="B4" s="50" t="s">
        <v>943</v>
      </c>
      <c r="C4" s="50" t="s">
        <v>944</v>
      </c>
      <c r="D4" s="50" t="s">
        <v>945</v>
      </c>
      <c r="E4" s="50" t="s">
        <v>946</v>
      </c>
      <c r="F4" s="50" t="s">
        <v>947</v>
      </c>
      <c r="G4" s="50" t="s">
        <v>948</v>
      </c>
      <c r="I4" s="49">
        <v>2022</v>
      </c>
      <c r="J4" s="49">
        <v>8.19</v>
      </c>
    </row>
    <row r="5" spans="1:10" ht="15.75" customHeight="1">
      <c r="B5" s="50" t="s">
        <v>949</v>
      </c>
      <c r="C5" s="50" t="s">
        <v>950</v>
      </c>
      <c r="D5" s="50" t="s">
        <v>951</v>
      </c>
      <c r="E5" s="50" t="s">
        <v>952</v>
      </c>
      <c r="F5" s="50" t="s">
        <v>953</v>
      </c>
      <c r="G5" s="50" t="s">
        <v>954</v>
      </c>
      <c r="I5" s="49">
        <v>2023</v>
      </c>
      <c r="J5" s="49">
        <v>8.31</v>
      </c>
    </row>
    <row r="6" spans="1:10" ht="15.75" customHeight="1">
      <c r="B6" s="48" t="s">
        <v>73</v>
      </c>
      <c r="C6" s="48" t="s">
        <v>955</v>
      </c>
      <c r="D6" s="48" t="s">
        <v>956</v>
      </c>
      <c r="E6" s="48" t="s">
        <v>957</v>
      </c>
      <c r="F6" s="48" t="s">
        <v>958</v>
      </c>
      <c r="G6" s="48" t="s">
        <v>959</v>
      </c>
      <c r="I6" s="49">
        <v>2024</v>
      </c>
      <c r="J6" s="49">
        <v>8.64</v>
      </c>
    </row>
    <row r="7" spans="1:10" ht="15.75" customHeight="1">
      <c r="A7" s="69" t="s">
        <v>961</v>
      </c>
      <c r="B7" s="60"/>
      <c r="C7" s="60"/>
      <c r="I7" s="49">
        <v>2025</v>
      </c>
      <c r="J7" s="49">
        <v>6.35</v>
      </c>
    </row>
    <row r="8" spans="1:10" ht="15.75" customHeight="1">
      <c r="A8" s="51" t="s">
        <v>962</v>
      </c>
      <c r="B8" s="69" t="s">
        <v>963</v>
      </c>
      <c r="C8" s="60"/>
    </row>
    <row r="9" spans="1:10" ht="15.75" customHeight="1">
      <c r="A9" s="1"/>
      <c r="B9" s="69" t="s">
        <v>934</v>
      </c>
      <c r="C9" s="60"/>
    </row>
    <row r="11" spans="1:10">
      <c r="A11" s="52" t="s">
        <v>964</v>
      </c>
    </row>
    <row r="12" spans="1:10">
      <c r="B12" s="70" t="s">
        <v>965</v>
      </c>
      <c r="C12" s="60"/>
      <c r="D12" s="60"/>
      <c r="E12" s="60"/>
      <c r="F12" s="60"/>
      <c r="G12" s="60"/>
    </row>
    <row r="13" spans="1:10" ht="15.75" customHeight="1">
      <c r="B13" s="60"/>
      <c r="C13" s="60"/>
      <c r="D13" s="60"/>
      <c r="E13" s="60"/>
      <c r="F13" s="60"/>
      <c r="G13" s="60"/>
    </row>
    <row r="14" spans="1:10" ht="15.75" customHeight="1">
      <c r="B14" s="60"/>
      <c r="C14" s="60"/>
      <c r="D14" s="60"/>
      <c r="E14" s="60"/>
      <c r="F14" s="60"/>
      <c r="G14" s="60"/>
    </row>
    <row r="15" spans="1:10" ht="15.75" customHeight="1">
      <c r="B15" s="60"/>
      <c r="C15" s="60"/>
      <c r="D15" s="60"/>
      <c r="E15" s="60"/>
      <c r="F15" s="60"/>
      <c r="G15" s="60"/>
    </row>
    <row r="16" spans="1:10" ht="15.75" customHeight="1">
      <c r="B16" s="60"/>
      <c r="C16" s="60"/>
      <c r="D16" s="60"/>
      <c r="E16" s="60"/>
      <c r="F16" s="60"/>
      <c r="G16" s="60"/>
    </row>
    <row r="17" spans="2:7" ht="15.75" customHeight="1">
      <c r="B17" s="60"/>
      <c r="C17" s="60"/>
      <c r="D17" s="60"/>
      <c r="E17" s="60"/>
      <c r="F17" s="60"/>
      <c r="G17" s="60"/>
    </row>
    <row r="18" spans="2:7" ht="15.75" customHeight="1">
      <c r="B18" s="60"/>
      <c r="C18" s="60"/>
      <c r="D18" s="60"/>
      <c r="E18" s="60"/>
      <c r="F18" s="60"/>
      <c r="G18" s="60"/>
    </row>
    <row r="19" spans="2:7" ht="15.75" customHeight="1">
      <c r="B19" s="60"/>
      <c r="C19" s="60"/>
      <c r="D19" s="60"/>
      <c r="E19" s="60"/>
      <c r="F19" s="60"/>
      <c r="G19" s="60"/>
    </row>
    <row r="20" spans="2:7" ht="15.75" customHeight="1">
      <c r="B20" s="60"/>
      <c r="C20" s="60"/>
      <c r="D20" s="60"/>
      <c r="E20" s="60"/>
      <c r="F20" s="60"/>
      <c r="G20" s="60"/>
    </row>
    <row r="21" spans="2:7" ht="15.75" customHeight="1">
      <c r="B21" s="60"/>
      <c r="C21" s="60"/>
      <c r="D21" s="60"/>
      <c r="E21" s="60"/>
      <c r="F21" s="60"/>
      <c r="G21" s="60"/>
    </row>
  </sheetData>
  <mergeCells count="4">
    <mergeCell ref="A7:C7"/>
    <mergeCell ref="B8:C8"/>
    <mergeCell ref="B9:C9"/>
    <mergeCell ref="B12:G2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T20"/>
  <sheetViews>
    <sheetView workbookViewId="0"/>
  </sheetViews>
  <sheetFormatPr defaultColWidth="12.6640625" defaultRowHeight="15.75" customHeight="1"/>
  <cols>
    <col min="3" max="3" width="23.44140625" customWidth="1"/>
    <col min="4" max="4" width="13.21875" customWidth="1"/>
    <col min="13" max="13" width="24.109375" customWidth="1"/>
    <col min="15" max="15" width="14.88671875" customWidth="1"/>
    <col min="16" max="16" width="15.6640625" customWidth="1"/>
  </cols>
  <sheetData>
    <row r="1" spans="1:20">
      <c r="A1" s="52" t="s">
        <v>966</v>
      </c>
      <c r="K1" s="52" t="s">
        <v>967</v>
      </c>
    </row>
    <row r="2" spans="1:20" ht="15.75" customHeight="1">
      <c r="B2" s="50" t="s">
        <v>5</v>
      </c>
      <c r="C2" s="50" t="s">
        <v>968</v>
      </c>
      <c r="D2" s="50" t="s">
        <v>969</v>
      </c>
      <c r="E2" s="71" t="s">
        <v>79</v>
      </c>
      <c r="G2" s="48" t="s">
        <v>5</v>
      </c>
      <c r="H2" s="72" t="s">
        <v>79</v>
      </c>
      <c r="L2" s="48" t="s">
        <v>5</v>
      </c>
      <c r="M2" s="48" t="s">
        <v>968</v>
      </c>
      <c r="N2" s="48" t="s">
        <v>970</v>
      </c>
      <c r="O2" s="48" t="s">
        <v>971</v>
      </c>
      <c r="P2" s="48" t="s">
        <v>972</v>
      </c>
      <c r="Q2" s="73" t="s">
        <v>967</v>
      </c>
      <c r="S2" s="48" t="s">
        <v>5</v>
      </c>
      <c r="T2" s="74" t="s">
        <v>967</v>
      </c>
    </row>
    <row r="3" spans="1:20" ht="15.75" customHeight="1">
      <c r="B3" s="50">
        <v>2020</v>
      </c>
      <c r="C3" s="50">
        <v>1062004</v>
      </c>
      <c r="D3" s="53"/>
      <c r="E3" s="66"/>
      <c r="G3" s="50">
        <v>2020</v>
      </c>
      <c r="H3" s="66"/>
      <c r="L3" s="50">
        <v>2020</v>
      </c>
      <c r="M3" s="50">
        <v>1062004</v>
      </c>
      <c r="N3" s="50">
        <v>174959.2</v>
      </c>
      <c r="O3" s="75"/>
      <c r="P3" s="63"/>
      <c r="Q3" s="66"/>
      <c r="S3" s="50">
        <v>2020</v>
      </c>
      <c r="T3" s="66"/>
    </row>
    <row r="4" spans="1:20" ht="15.75" customHeight="1">
      <c r="B4" s="50">
        <v>2021</v>
      </c>
      <c r="C4" s="50">
        <v>1037133</v>
      </c>
      <c r="D4" s="50">
        <v>5993.24</v>
      </c>
      <c r="E4" s="54">
        <v>-4.1500000000000004</v>
      </c>
      <c r="G4" s="50">
        <v>2021</v>
      </c>
      <c r="H4" s="55">
        <v>-4.1500000000000004</v>
      </c>
      <c r="L4" s="50">
        <v>2021</v>
      </c>
      <c r="M4" s="50">
        <v>1037133</v>
      </c>
      <c r="N4" s="50">
        <v>180952.44</v>
      </c>
      <c r="O4" s="50">
        <v>-2.34</v>
      </c>
      <c r="P4" s="50">
        <v>3.43</v>
      </c>
      <c r="Q4" s="54">
        <v>-0.68</v>
      </c>
      <c r="S4" s="50">
        <v>2021</v>
      </c>
      <c r="T4" s="55">
        <v>-0.68</v>
      </c>
    </row>
    <row r="5" spans="1:20" ht="15.75" customHeight="1">
      <c r="B5" s="50">
        <v>2022</v>
      </c>
      <c r="C5" s="50">
        <v>973125</v>
      </c>
      <c r="D5" s="50">
        <v>9158.64</v>
      </c>
      <c r="E5" s="54">
        <v>-6.99</v>
      </c>
      <c r="G5" s="50">
        <v>2022</v>
      </c>
      <c r="H5" s="55">
        <v>-6.99</v>
      </c>
      <c r="L5" s="50">
        <v>2022</v>
      </c>
      <c r="M5" s="50">
        <v>973125</v>
      </c>
      <c r="N5" s="50">
        <v>190111.09</v>
      </c>
      <c r="O5" s="50">
        <v>-6.17</v>
      </c>
      <c r="P5" s="50">
        <v>5.0599999999999996</v>
      </c>
      <c r="Q5" s="54">
        <v>-1.22</v>
      </c>
      <c r="S5" s="50">
        <v>2022</v>
      </c>
      <c r="T5" s="55">
        <v>-1.22</v>
      </c>
    </row>
    <row r="6" spans="1:20" ht="15.75" customHeight="1">
      <c r="B6" s="50">
        <v>2023</v>
      </c>
      <c r="C6" s="56">
        <v>1023125</v>
      </c>
      <c r="D6" s="56">
        <v>9801.74</v>
      </c>
      <c r="E6" s="57">
        <v>5.0999999999999996</v>
      </c>
      <c r="G6" s="50">
        <v>2023</v>
      </c>
      <c r="H6" s="58">
        <v>5.0999999999999996</v>
      </c>
      <c r="L6" s="50">
        <v>2023</v>
      </c>
      <c r="M6" s="50">
        <v>1023125</v>
      </c>
      <c r="N6" s="50">
        <v>199912.8</v>
      </c>
      <c r="O6" s="50">
        <v>5.14</v>
      </c>
      <c r="P6" s="50">
        <v>5.16</v>
      </c>
      <c r="Q6" s="54">
        <v>1</v>
      </c>
      <c r="S6" s="50">
        <v>2023</v>
      </c>
      <c r="T6" s="55">
        <v>1</v>
      </c>
    </row>
    <row r="7" spans="1:20" ht="15.75" customHeight="1">
      <c r="B7" s="50">
        <v>2024</v>
      </c>
      <c r="C7" s="50">
        <v>1003390</v>
      </c>
      <c r="D7" s="50">
        <v>10026.25</v>
      </c>
      <c r="E7" s="54">
        <v>-1.97</v>
      </c>
      <c r="G7" s="50">
        <v>2024</v>
      </c>
      <c r="H7" s="55">
        <v>-1.97</v>
      </c>
      <c r="L7" s="50">
        <v>2024</v>
      </c>
      <c r="M7" s="50">
        <v>1003390</v>
      </c>
      <c r="N7" s="50">
        <v>209939.1</v>
      </c>
      <c r="O7" s="50">
        <v>-1.93</v>
      </c>
      <c r="P7" s="50">
        <v>5.0199999999999996</v>
      </c>
      <c r="Q7" s="54">
        <v>-0.38</v>
      </c>
      <c r="S7" s="50">
        <v>2024</v>
      </c>
      <c r="T7" s="55">
        <v>-0.38</v>
      </c>
    </row>
    <row r="8" spans="1:20" ht="15.75" customHeight="1">
      <c r="B8" s="50">
        <v>2025</v>
      </c>
      <c r="C8" s="50">
        <v>1016540</v>
      </c>
      <c r="D8" s="50">
        <v>14565.65</v>
      </c>
      <c r="E8" s="54">
        <v>0.9</v>
      </c>
      <c r="G8" s="50">
        <v>2025</v>
      </c>
      <c r="H8" s="55">
        <v>0.9</v>
      </c>
      <c r="L8" s="50">
        <v>2025</v>
      </c>
      <c r="M8" s="50">
        <v>1016540</v>
      </c>
      <c r="N8" s="50">
        <v>224504.7</v>
      </c>
      <c r="O8" s="50">
        <v>1.31</v>
      </c>
      <c r="P8" s="50">
        <v>6.94</v>
      </c>
      <c r="Q8" s="54">
        <v>0.19</v>
      </c>
      <c r="S8" s="50">
        <v>2025</v>
      </c>
      <c r="T8" s="55">
        <v>0.19</v>
      </c>
    </row>
    <row r="10" spans="1:20">
      <c r="A10" s="52" t="s">
        <v>973</v>
      </c>
      <c r="K10" s="52" t="s">
        <v>974</v>
      </c>
    </row>
    <row r="11" spans="1:20">
      <c r="B11" s="76" t="s">
        <v>975</v>
      </c>
      <c r="C11" s="60"/>
      <c r="D11" s="60"/>
      <c r="E11" s="60"/>
      <c r="L11" s="77" t="s">
        <v>976</v>
      </c>
      <c r="M11" s="60"/>
      <c r="N11" s="60"/>
      <c r="O11" s="60"/>
      <c r="P11" s="60"/>
      <c r="Q11" s="60"/>
    </row>
    <row r="12" spans="1:20" ht="15.75" customHeight="1">
      <c r="B12" s="60"/>
      <c r="C12" s="60"/>
      <c r="D12" s="60"/>
      <c r="E12" s="60"/>
      <c r="L12" s="60"/>
      <c r="M12" s="60"/>
      <c r="N12" s="60"/>
      <c r="O12" s="60"/>
      <c r="P12" s="60"/>
      <c r="Q12" s="60"/>
    </row>
    <row r="13" spans="1:20" ht="15.75" customHeight="1">
      <c r="B13" s="60"/>
      <c r="C13" s="60"/>
      <c r="D13" s="60"/>
      <c r="E13" s="60"/>
      <c r="L13" s="60"/>
      <c r="M13" s="60"/>
      <c r="N13" s="60"/>
      <c r="O13" s="60"/>
      <c r="P13" s="60"/>
      <c r="Q13" s="60"/>
    </row>
    <row r="14" spans="1:20" ht="15.75" customHeight="1">
      <c r="B14" s="60"/>
      <c r="C14" s="60"/>
      <c r="D14" s="60"/>
      <c r="E14" s="60"/>
      <c r="L14" s="60"/>
      <c r="M14" s="60"/>
      <c r="N14" s="60"/>
      <c r="O14" s="60"/>
      <c r="P14" s="60"/>
      <c r="Q14" s="60"/>
    </row>
    <row r="15" spans="1:20" ht="15.75" customHeight="1">
      <c r="B15" s="60"/>
      <c r="C15" s="60"/>
      <c r="D15" s="60"/>
      <c r="E15" s="60"/>
      <c r="L15" s="60"/>
      <c r="M15" s="60"/>
      <c r="N15" s="60"/>
      <c r="O15" s="60"/>
      <c r="P15" s="60"/>
      <c r="Q15" s="60"/>
    </row>
    <row r="16" spans="1:20" ht="15.75" customHeight="1">
      <c r="B16" s="60"/>
      <c r="C16" s="60"/>
      <c r="D16" s="60"/>
      <c r="E16" s="60"/>
      <c r="L16" s="60"/>
      <c r="M16" s="60"/>
      <c r="N16" s="60"/>
      <c r="O16" s="60"/>
      <c r="P16" s="60"/>
      <c r="Q16" s="60"/>
    </row>
    <row r="17" spans="2:17" ht="15.75" customHeight="1">
      <c r="B17" s="60"/>
      <c r="C17" s="60"/>
      <c r="D17" s="60"/>
      <c r="E17" s="60"/>
      <c r="L17" s="60"/>
      <c r="M17" s="60"/>
      <c r="N17" s="60"/>
      <c r="O17" s="60"/>
      <c r="P17" s="60"/>
      <c r="Q17" s="60"/>
    </row>
    <row r="18" spans="2:17" ht="15.75" customHeight="1">
      <c r="B18" s="60"/>
      <c r="C18" s="60"/>
      <c r="D18" s="60"/>
      <c r="E18" s="60"/>
      <c r="L18" s="60"/>
      <c r="M18" s="60"/>
      <c r="N18" s="60"/>
      <c r="O18" s="60"/>
      <c r="P18" s="60"/>
      <c r="Q18" s="60"/>
    </row>
    <row r="19" spans="2:17" ht="15.75" customHeight="1">
      <c r="B19" s="60"/>
      <c r="C19" s="60"/>
      <c r="D19" s="60"/>
      <c r="E19" s="60"/>
    </row>
    <row r="20" spans="2:17" ht="15.75" customHeight="1">
      <c r="B20" s="60"/>
      <c r="C20" s="60"/>
      <c r="D20" s="60"/>
      <c r="E20" s="60"/>
    </row>
  </sheetData>
  <mergeCells count="7">
    <mergeCell ref="B11:E20"/>
    <mergeCell ref="L11:Q18"/>
    <mergeCell ref="E2:E3"/>
    <mergeCell ref="H2:H3"/>
    <mergeCell ref="Q2:Q3"/>
    <mergeCell ref="T2:T3"/>
    <mergeCell ref="O3:P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F64"/>
  <sheetViews>
    <sheetView workbookViewId="0"/>
  </sheetViews>
  <sheetFormatPr defaultColWidth="12.6640625" defaultRowHeight="15.75" customHeight="1"/>
  <sheetData>
    <row r="1" spans="1:6" ht="15.75" customHeight="1">
      <c r="A1" s="43" t="s">
        <v>960</v>
      </c>
      <c r="B1" s="13">
        <v>2021</v>
      </c>
      <c r="C1" s="13">
        <v>2022</v>
      </c>
      <c r="D1" s="13">
        <v>2023</v>
      </c>
      <c r="E1" s="13">
        <v>2024</v>
      </c>
      <c r="F1" s="13">
        <v>2025</v>
      </c>
    </row>
    <row r="2" spans="1:6" ht="15.75" customHeight="1">
      <c r="A2" s="43" t="s">
        <v>155</v>
      </c>
      <c r="B2" s="13" t="s">
        <v>192</v>
      </c>
      <c r="C2" s="13" t="s">
        <v>193</v>
      </c>
      <c r="D2" s="13" t="s">
        <v>194</v>
      </c>
      <c r="E2" s="13" t="s">
        <v>195</v>
      </c>
      <c r="F2" s="13" t="s">
        <v>197</v>
      </c>
    </row>
    <row r="3" spans="1:6" ht="15.75" customHeight="1">
      <c r="A3" s="43" t="s">
        <v>89</v>
      </c>
      <c r="B3" s="13" t="s">
        <v>198</v>
      </c>
      <c r="C3" s="13" t="s">
        <v>199</v>
      </c>
      <c r="D3" s="13" t="s">
        <v>200</v>
      </c>
      <c r="E3" s="13">
        <v>2045</v>
      </c>
      <c r="F3" s="13" t="s">
        <v>201</v>
      </c>
    </row>
    <row r="4" spans="1:6" ht="15.75" customHeight="1">
      <c r="A4" s="43" t="s">
        <v>90</v>
      </c>
      <c r="B4" s="13" t="s">
        <v>202</v>
      </c>
      <c r="C4" s="13" t="s">
        <v>203</v>
      </c>
      <c r="D4" s="13" t="s">
        <v>204</v>
      </c>
      <c r="E4" s="13" t="s">
        <v>205</v>
      </c>
      <c r="F4" s="13">
        <v>10</v>
      </c>
    </row>
    <row r="5" spans="1:6" ht="15.75" customHeight="1">
      <c r="A5" s="43" t="s">
        <v>91</v>
      </c>
      <c r="B5" s="13" t="s">
        <v>206</v>
      </c>
      <c r="C5" s="13" t="s">
        <v>207</v>
      </c>
      <c r="D5" s="13" t="s">
        <v>208</v>
      </c>
      <c r="E5" s="13" t="s">
        <v>209</v>
      </c>
      <c r="F5" s="13" t="s">
        <v>210</v>
      </c>
    </row>
    <row r="6" spans="1:6" ht="15.75" customHeight="1">
      <c r="A6" s="43" t="s">
        <v>211</v>
      </c>
      <c r="B6" s="13" t="s">
        <v>212</v>
      </c>
      <c r="C6" s="13" t="s">
        <v>213</v>
      </c>
      <c r="D6" s="13" t="s">
        <v>214</v>
      </c>
      <c r="E6" s="13" t="s">
        <v>215</v>
      </c>
      <c r="F6" s="13" t="s">
        <v>216</v>
      </c>
    </row>
    <row r="7" spans="1:6" ht="15.75" customHeight="1">
      <c r="A7" s="43" t="s">
        <v>93</v>
      </c>
      <c r="B7" s="13" t="s">
        <v>217</v>
      </c>
      <c r="C7" s="13" t="s">
        <v>218</v>
      </c>
      <c r="D7" s="13" t="s">
        <v>219</v>
      </c>
      <c r="E7" s="13" t="s">
        <v>220</v>
      </c>
      <c r="F7" s="13" t="s">
        <v>221</v>
      </c>
    </row>
    <row r="8" spans="1:6" ht="15.75" customHeight="1">
      <c r="A8" s="43" t="s">
        <v>94</v>
      </c>
      <c r="B8" s="13" t="s">
        <v>222</v>
      </c>
      <c r="C8" s="13" t="s">
        <v>222</v>
      </c>
      <c r="D8" s="13" t="s">
        <v>223</v>
      </c>
      <c r="E8" s="13" t="s">
        <v>224</v>
      </c>
      <c r="F8" s="13" t="s">
        <v>225</v>
      </c>
    </row>
    <row r="9" spans="1:6" ht="15.75" customHeight="1">
      <c r="A9" s="43" t="s">
        <v>95</v>
      </c>
      <c r="B9" s="13" t="s">
        <v>226</v>
      </c>
      <c r="C9" s="13">
        <v>18</v>
      </c>
      <c r="D9" s="13" t="s">
        <v>227</v>
      </c>
      <c r="E9" s="13" t="s">
        <v>228</v>
      </c>
      <c r="F9" s="13" t="s">
        <v>229</v>
      </c>
    </row>
    <row r="10" spans="1:6" ht="15.75" customHeight="1">
      <c r="A10" s="43" t="s">
        <v>96</v>
      </c>
      <c r="B10" s="13" t="s">
        <v>230</v>
      </c>
      <c r="C10" s="13">
        <v>3378</v>
      </c>
      <c r="D10" s="13" t="s">
        <v>231</v>
      </c>
      <c r="E10" s="13" t="s">
        <v>232</v>
      </c>
      <c r="F10" s="13" t="s">
        <v>233</v>
      </c>
    </row>
    <row r="11" spans="1:6" ht="15.75" customHeight="1">
      <c r="A11" s="43" t="s">
        <v>157</v>
      </c>
      <c r="B11" s="13" t="s">
        <v>234</v>
      </c>
      <c r="C11" s="13" t="s">
        <v>235</v>
      </c>
      <c r="D11" s="13" t="s">
        <v>236</v>
      </c>
      <c r="E11" s="13" t="s">
        <v>237</v>
      </c>
      <c r="F11" s="13" t="s">
        <v>238</v>
      </c>
    </row>
    <row r="12" spans="1:6" ht="15.75" customHeight="1">
      <c r="A12" s="43" t="s">
        <v>239</v>
      </c>
      <c r="B12" s="13" t="s">
        <v>240</v>
      </c>
      <c r="C12" s="13" t="s">
        <v>241</v>
      </c>
      <c r="D12" s="13" t="s">
        <v>242</v>
      </c>
      <c r="E12" s="13">
        <v>17970</v>
      </c>
      <c r="F12" s="13" t="s">
        <v>243</v>
      </c>
    </row>
    <row r="13" spans="1:6" ht="15.75" customHeight="1">
      <c r="A13" s="43" t="s">
        <v>100</v>
      </c>
      <c r="B13" s="13">
        <v>0</v>
      </c>
      <c r="C13" s="13">
        <v>0</v>
      </c>
      <c r="D13" s="13">
        <v>0</v>
      </c>
      <c r="E13" s="13">
        <v>0</v>
      </c>
      <c r="F13" s="13">
        <v>0</v>
      </c>
    </row>
    <row r="14" spans="1:6" ht="15.75" customHeight="1">
      <c r="A14" s="43" t="s">
        <v>104</v>
      </c>
      <c r="B14" s="13" t="s">
        <v>244</v>
      </c>
      <c r="C14" s="13" t="s">
        <v>245</v>
      </c>
      <c r="D14" s="13" t="s">
        <v>246</v>
      </c>
      <c r="E14" s="13" t="s">
        <v>247</v>
      </c>
      <c r="F14" s="13" t="s">
        <v>248</v>
      </c>
    </row>
    <row r="15" spans="1:6" ht="15.75" customHeight="1">
      <c r="A15" s="43" t="s">
        <v>106</v>
      </c>
      <c r="B15" s="13" t="s">
        <v>249</v>
      </c>
      <c r="C15" s="13" t="s">
        <v>250</v>
      </c>
      <c r="D15" s="13" t="s">
        <v>251</v>
      </c>
      <c r="E15" s="13" t="s">
        <v>252</v>
      </c>
      <c r="F15" s="13" t="s">
        <v>253</v>
      </c>
    </row>
    <row r="16" spans="1:6" ht="15.75" customHeight="1">
      <c r="A16" s="43" t="s">
        <v>159</v>
      </c>
      <c r="B16" s="13" t="s">
        <v>254</v>
      </c>
      <c r="C16" s="13" t="s">
        <v>255</v>
      </c>
      <c r="D16" s="13" t="s">
        <v>256</v>
      </c>
      <c r="E16" s="13" t="s">
        <v>257</v>
      </c>
      <c r="F16" s="13" t="s">
        <v>258</v>
      </c>
    </row>
    <row r="17" spans="1:6" ht="15.75" customHeight="1">
      <c r="A17" s="43" t="s">
        <v>108</v>
      </c>
      <c r="B17" s="13">
        <v>0</v>
      </c>
      <c r="C17" s="13">
        <v>0</v>
      </c>
      <c r="D17" s="13">
        <v>0</v>
      </c>
      <c r="E17" s="13">
        <v>0</v>
      </c>
      <c r="F17" s="13">
        <v>0</v>
      </c>
    </row>
    <row r="18" spans="1:6" ht="15.75" customHeight="1">
      <c r="A18" s="43" t="s">
        <v>109</v>
      </c>
      <c r="B18" s="13" t="s">
        <v>259</v>
      </c>
      <c r="C18" s="13" t="s">
        <v>260</v>
      </c>
      <c r="D18" s="13" t="s">
        <v>261</v>
      </c>
      <c r="E18" s="13" t="s">
        <v>262</v>
      </c>
      <c r="F18" s="13">
        <v>1539</v>
      </c>
    </row>
    <row r="19" spans="1:6" ht="15.75" customHeight="1">
      <c r="A19" s="43" t="s">
        <v>263</v>
      </c>
      <c r="B19" s="13" t="s">
        <v>264</v>
      </c>
      <c r="C19" s="13" t="s">
        <v>265</v>
      </c>
      <c r="D19" s="13" t="s">
        <v>266</v>
      </c>
      <c r="E19" s="13" t="s">
        <v>267</v>
      </c>
      <c r="F19" s="13" t="s">
        <v>268</v>
      </c>
    </row>
    <row r="20" spans="1:6" ht="15.75" customHeight="1">
      <c r="A20" s="43" t="s">
        <v>111</v>
      </c>
      <c r="B20" s="13" t="s">
        <v>270</v>
      </c>
      <c r="C20" s="13" t="s">
        <v>271</v>
      </c>
      <c r="D20" s="13" t="s">
        <v>272</v>
      </c>
      <c r="E20" s="13" t="s">
        <v>273</v>
      </c>
      <c r="F20" s="13" t="s">
        <v>274</v>
      </c>
    </row>
    <row r="21" spans="1:6" ht="15.75" customHeight="1">
      <c r="A21" s="43" t="s">
        <v>112</v>
      </c>
      <c r="B21" s="13" t="s">
        <v>275</v>
      </c>
      <c r="C21" s="13" t="s">
        <v>276</v>
      </c>
      <c r="D21" s="13" t="s">
        <v>277</v>
      </c>
      <c r="E21" s="13" t="s">
        <v>278</v>
      </c>
      <c r="F21" s="13" t="s">
        <v>279</v>
      </c>
    </row>
    <row r="22" spans="1:6" ht="15.75" customHeight="1">
      <c r="A22" s="43" t="s">
        <v>280</v>
      </c>
      <c r="B22" s="13" t="s">
        <v>281</v>
      </c>
      <c r="C22" s="13" t="s">
        <v>282</v>
      </c>
      <c r="D22" s="13" t="s">
        <v>283</v>
      </c>
      <c r="E22" s="13" t="s">
        <v>284</v>
      </c>
      <c r="F22" s="13" t="s">
        <v>285</v>
      </c>
    </row>
    <row r="23" spans="1:6" ht="15.75" customHeight="1">
      <c r="A23" s="43" t="s">
        <v>286</v>
      </c>
      <c r="B23" s="13" t="s">
        <v>287</v>
      </c>
      <c r="C23" s="13" t="s">
        <v>288</v>
      </c>
      <c r="D23" s="13" t="s">
        <v>289</v>
      </c>
      <c r="E23" s="13" t="s">
        <v>290</v>
      </c>
      <c r="F23" s="13" t="s">
        <v>291</v>
      </c>
    </row>
    <row r="24" spans="1:6" ht="15.75" customHeight="1">
      <c r="A24" s="43" t="s">
        <v>292</v>
      </c>
      <c r="B24" s="13" t="s">
        <v>293</v>
      </c>
      <c r="C24" s="13" t="s">
        <v>294</v>
      </c>
      <c r="D24" s="13" t="s">
        <v>295</v>
      </c>
      <c r="E24" s="13" t="s">
        <v>296</v>
      </c>
      <c r="F24" s="13" t="s">
        <v>297</v>
      </c>
    </row>
    <row r="25" spans="1:6" ht="15.75" customHeight="1">
      <c r="A25" s="43" t="s">
        <v>117</v>
      </c>
      <c r="B25" s="13" t="s">
        <v>298</v>
      </c>
      <c r="C25" s="13" t="s">
        <v>299</v>
      </c>
      <c r="D25" s="13" t="s">
        <v>300</v>
      </c>
      <c r="E25" s="13" t="s">
        <v>301</v>
      </c>
      <c r="F25" s="13" t="s">
        <v>302</v>
      </c>
    </row>
    <row r="26" spans="1:6" ht="15.75" customHeight="1">
      <c r="A26" s="43" t="s">
        <v>303</v>
      </c>
      <c r="B26" s="13" t="s">
        <v>304</v>
      </c>
      <c r="C26" s="13" t="s">
        <v>305</v>
      </c>
      <c r="D26" s="13" t="s">
        <v>306</v>
      </c>
      <c r="E26" s="13" t="s">
        <v>307</v>
      </c>
      <c r="F26" s="13" t="s">
        <v>308</v>
      </c>
    </row>
    <row r="27" spans="1:6" ht="15.6">
      <c r="A27" s="43" t="s">
        <v>119</v>
      </c>
      <c r="B27" s="13" t="s">
        <v>309</v>
      </c>
      <c r="C27" s="13" t="s">
        <v>310</v>
      </c>
      <c r="D27" s="13" t="s">
        <v>311</v>
      </c>
      <c r="E27" s="13" t="s">
        <v>312</v>
      </c>
      <c r="F27" s="13" t="s">
        <v>313</v>
      </c>
    </row>
    <row r="28" spans="1:6" ht="15.6">
      <c r="A28" s="43" t="s">
        <v>314</v>
      </c>
      <c r="B28" s="13" t="s">
        <v>315</v>
      </c>
      <c r="C28" s="13" t="s">
        <v>316</v>
      </c>
      <c r="D28" s="13" t="s">
        <v>317</v>
      </c>
      <c r="E28" s="13" t="s">
        <v>318</v>
      </c>
      <c r="F28" s="13" t="s">
        <v>319</v>
      </c>
    </row>
    <row r="29" spans="1:6" ht="15.6">
      <c r="A29" s="43" t="s">
        <v>320</v>
      </c>
      <c r="B29" s="13" t="s">
        <v>321</v>
      </c>
      <c r="C29" s="13" t="s">
        <v>322</v>
      </c>
      <c r="D29" s="13" t="s">
        <v>323</v>
      </c>
      <c r="E29" s="13" t="s">
        <v>324</v>
      </c>
      <c r="F29" s="13" t="s">
        <v>325</v>
      </c>
    </row>
    <row r="30" spans="1:6" ht="15.6">
      <c r="A30" s="43" t="s">
        <v>123</v>
      </c>
      <c r="B30" s="13" t="s">
        <v>326</v>
      </c>
      <c r="C30" s="13" t="s">
        <v>327</v>
      </c>
      <c r="D30" s="13" t="s">
        <v>328</v>
      </c>
      <c r="E30" s="13" t="s">
        <v>329</v>
      </c>
      <c r="F30" s="13" t="s">
        <v>330</v>
      </c>
    </row>
    <row r="31" spans="1:6" ht="15.6">
      <c r="A31" s="43" t="s">
        <v>124</v>
      </c>
      <c r="B31" s="13" t="s">
        <v>331</v>
      </c>
      <c r="C31" s="13" t="s">
        <v>332</v>
      </c>
      <c r="D31" s="13" t="s">
        <v>333</v>
      </c>
      <c r="E31" s="13" t="s">
        <v>334</v>
      </c>
      <c r="F31" s="13" t="s">
        <v>335</v>
      </c>
    </row>
    <row r="32" spans="1:6" ht="15.6">
      <c r="A32" s="43" t="s">
        <v>336</v>
      </c>
      <c r="B32" s="13" t="s">
        <v>337</v>
      </c>
      <c r="C32" s="13" t="s">
        <v>338</v>
      </c>
      <c r="D32" s="13" t="s">
        <v>339</v>
      </c>
      <c r="E32" s="13" t="s">
        <v>340</v>
      </c>
      <c r="F32" s="13" t="s">
        <v>341</v>
      </c>
    </row>
    <row r="33" spans="1:6" ht="15.6">
      <c r="A33" s="43" t="s">
        <v>342</v>
      </c>
      <c r="B33" s="13" t="s">
        <v>343</v>
      </c>
      <c r="C33" s="13" t="s">
        <v>344</v>
      </c>
      <c r="D33" s="13" t="s">
        <v>345</v>
      </c>
      <c r="E33" s="13" t="s">
        <v>346</v>
      </c>
      <c r="F33" s="13" t="s">
        <v>347</v>
      </c>
    </row>
    <row r="34" spans="1:6" ht="15.6">
      <c r="A34" s="43" t="s">
        <v>127</v>
      </c>
      <c r="B34" s="13" t="s">
        <v>348</v>
      </c>
      <c r="C34" s="13" t="s">
        <v>349</v>
      </c>
      <c r="D34" s="13" t="s">
        <v>350</v>
      </c>
      <c r="E34" s="13" t="s">
        <v>351</v>
      </c>
      <c r="F34" s="13" t="s">
        <v>352</v>
      </c>
    </row>
    <row r="35" spans="1:6" ht="15.6">
      <c r="A35" s="43" t="s">
        <v>353</v>
      </c>
      <c r="B35" s="13" t="s">
        <v>354</v>
      </c>
      <c r="C35" s="13" t="s">
        <v>355</v>
      </c>
      <c r="D35" s="13" t="s">
        <v>356</v>
      </c>
      <c r="E35" s="13" t="s">
        <v>357</v>
      </c>
      <c r="F35" s="13" t="s">
        <v>358</v>
      </c>
    </row>
    <row r="36" spans="1:6" ht="15.6">
      <c r="A36" s="43" t="s">
        <v>359</v>
      </c>
      <c r="B36" s="13" t="s">
        <v>360</v>
      </c>
      <c r="C36" s="13" t="s">
        <v>361</v>
      </c>
      <c r="D36" s="13" t="s">
        <v>362</v>
      </c>
      <c r="E36" s="13" t="s">
        <v>363</v>
      </c>
      <c r="F36" s="13" t="s">
        <v>364</v>
      </c>
    </row>
    <row r="37" spans="1:6" ht="15.6">
      <c r="A37" s="43" t="s">
        <v>165</v>
      </c>
      <c r="B37" s="13" t="s">
        <v>365</v>
      </c>
      <c r="C37" s="13" t="s">
        <v>366</v>
      </c>
      <c r="D37" s="13" t="s">
        <v>367</v>
      </c>
      <c r="E37" s="13" t="s">
        <v>368</v>
      </c>
      <c r="F37" s="13" t="s">
        <v>369</v>
      </c>
    </row>
    <row r="38" spans="1:6" ht="15.6">
      <c r="A38" s="43" t="s">
        <v>370</v>
      </c>
      <c r="B38" s="13" t="s">
        <v>371</v>
      </c>
      <c r="C38" s="13" t="s">
        <v>372</v>
      </c>
      <c r="D38" s="13" t="s">
        <v>374</v>
      </c>
      <c r="E38" s="13" t="s">
        <v>375</v>
      </c>
      <c r="F38" s="13" t="s">
        <v>376</v>
      </c>
    </row>
    <row r="39" spans="1:6" ht="15.6">
      <c r="A39" s="43" t="s">
        <v>133</v>
      </c>
      <c r="B39" s="13" t="s">
        <v>377</v>
      </c>
      <c r="C39" s="13" t="s">
        <v>378</v>
      </c>
      <c r="D39" s="13" t="s">
        <v>379</v>
      </c>
      <c r="E39" s="13" t="s">
        <v>380</v>
      </c>
      <c r="F39" s="13" t="s">
        <v>381</v>
      </c>
    </row>
    <row r="40" spans="1:6" ht="15.6">
      <c r="A40" s="43" t="s">
        <v>382</v>
      </c>
      <c r="B40" s="13" t="s">
        <v>383</v>
      </c>
      <c r="C40" s="13" t="s">
        <v>384</v>
      </c>
      <c r="D40" s="13" t="s">
        <v>385</v>
      </c>
      <c r="E40" s="13" t="s">
        <v>386</v>
      </c>
      <c r="F40" s="13" t="s">
        <v>387</v>
      </c>
    </row>
    <row r="41" spans="1:6" ht="15.6">
      <c r="A41" s="43" t="s">
        <v>169</v>
      </c>
      <c r="B41" s="13" t="s">
        <v>388</v>
      </c>
      <c r="C41" s="13" t="s">
        <v>389</v>
      </c>
      <c r="D41" s="13" t="s">
        <v>390</v>
      </c>
      <c r="E41" s="13" t="s">
        <v>391</v>
      </c>
      <c r="F41" s="13" t="s">
        <v>392</v>
      </c>
    </row>
    <row r="42" spans="1:6" ht="15.6">
      <c r="A42" s="43" t="s">
        <v>135</v>
      </c>
      <c r="B42" s="13">
        <v>0</v>
      </c>
      <c r="C42" s="13">
        <v>0</v>
      </c>
      <c r="D42" s="13">
        <v>0</v>
      </c>
      <c r="E42" s="13">
        <v>0</v>
      </c>
      <c r="F42" s="13">
        <v>0</v>
      </c>
    </row>
    <row r="43" spans="1:6" ht="15.6">
      <c r="A43" s="43" t="s">
        <v>136</v>
      </c>
      <c r="B43" s="13" t="s">
        <v>393</v>
      </c>
      <c r="C43" s="13">
        <v>609</v>
      </c>
      <c r="D43" s="13" t="s">
        <v>394</v>
      </c>
      <c r="E43" s="13" t="s">
        <v>395</v>
      </c>
      <c r="F43" s="13" t="s">
        <v>396</v>
      </c>
    </row>
    <row r="44" spans="1:6" ht="15.6">
      <c r="A44" s="43" t="s">
        <v>137</v>
      </c>
      <c r="B44" s="13" t="s">
        <v>397</v>
      </c>
      <c r="C44" s="13" t="s">
        <v>398</v>
      </c>
      <c r="D44" s="13" t="s">
        <v>399</v>
      </c>
      <c r="E44" s="13" t="s">
        <v>400</v>
      </c>
      <c r="F44" s="13" t="s">
        <v>401</v>
      </c>
    </row>
    <row r="45" spans="1:6" ht="15.6">
      <c r="A45" s="43" t="s">
        <v>138</v>
      </c>
      <c r="B45" s="13" t="s">
        <v>402</v>
      </c>
      <c r="C45" s="13" t="s">
        <v>403</v>
      </c>
      <c r="D45" s="13" t="s">
        <v>404</v>
      </c>
      <c r="E45" s="13" t="s">
        <v>405</v>
      </c>
      <c r="F45" s="13" t="s">
        <v>406</v>
      </c>
    </row>
    <row r="46" spans="1:6" ht="15.6">
      <c r="A46" s="43" t="s">
        <v>139</v>
      </c>
      <c r="B46" s="13" t="s">
        <v>407</v>
      </c>
      <c r="C46" s="13" t="s">
        <v>408</v>
      </c>
      <c r="D46" s="13" t="s">
        <v>409</v>
      </c>
      <c r="E46" s="13" t="s">
        <v>410</v>
      </c>
      <c r="F46" s="13" t="s">
        <v>411</v>
      </c>
    </row>
    <row r="47" spans="1:6" ht="15.6">
      <c r="A47" s="43" t="s">
        <v>412</v>
      </c>
      <c r="B47" s="13" t="s">
        <v>413</v>
      </c>
      <c r="C47" s="13" t="s">
        <v>414</v>
      </c>
      <c r="D47" s="13" t="s">
        <v>415</v>
      </c>
      <c r="E47" s="13" t="s">
        <v>416</v>
      </c>
      <c r="F47" s="13" t="s">
        <v>417</v>
      </c>
    </row>
    <row r="48" spans="1:6" ht="15.6">
      <c r="A48" s="43" t="s">
        <v>171</v>
      </c>
      <c r="B48" s="13" t="s">
        <v>418</v>
      </c>
      <c r="C48" s="13" t="s">
        <v>419</v>
      </c>
      <c r="D48" s="13" t="s">
        <v>420</v>
      </c>
      <c r="E48" s="13" t="s">
        <v>421</v>
      </c>
      <c r="F48" s="13" t="s">
        <v>422</v>
      </c>
    </row>
    <row r="49" spans="1:6" ht="15.6">
      <c r="A49" s="43" t="s">
        <v>141</v>
      </c>
      <c r="B49" s="13" t="s">
        <v>423</v>
      </c>
      <c r="C49" s="13" t="s">
        <v>424</v>
      </c>
      <c r="D49" s="13" t="s">
        <v>425</v>
      </c>
      <c r="E49" s="13" t="s">
        <v>426</v>
      </c>
      <c r="F49" s="13" t="s">
        <v>427</v>
      </c>
    </row>
    <row r="50" spans="1:6" ht="15.6">
      <c r="A50" s="43" t="s">
        <v>142</v>
      </c>
      <c r="B50" s="13" t="s">
        <v>428</v>
      </c>
      <c r="C50" s="13" t="s">
        <v>429</v>
      </c>
      <c r="D50" s="13">
        <v>1945</v>
      </c>
      <c r="E50" s="13" t="s">
        <v>430</v>
      </c>
      <c r="F50" s="13" t="s">
        <v>431</v>
      </c>
    </row>
    <row r="51" spans="1:6" ht="15.6">
      <c r="A51" s="43" t="s">
        <v>173</v>
      </c>
      <c r="B51" s="13" t="s">
        <v>432</v>
      </c>
      <c r="C51" s="13" t="s">
        <v>433</v>
      </c>
      <c r="D51" s="13" t="s">
        <v>434</v>
      </c>
      <c r="E51" s="13" t="s">
        <v>435</v>
      </c>
      <c r="F51" s="13" t="s">
        <v>436</v>
      </c>
    </row>
    <row r="52" spans="1:6" ht="15.6">
      <c r="A52" s="43" t="s">
        <v>437</v>
      </c>
      <c r="B52" s="13" t="s">
        <v>438</v>
      </c>
      <c r="C52" s="13" t="s">
        <v>439</v>
      </c>
      <c r="D52" s="13" t="s">
        <v>440</v>
      </c>
      <c r="E52" s="13" t="s">
        <v>441</v>
      </c>
      <c r="F52" s="13" t="s">
        <v>442</v>
      </c>
    </row>
    <row r="53" spans="1:6" ht="15.6">
      <c r="A53" s="43" t="s">
        <v>443</v>
      </c>
      <c r="B53" s="13" t="s">
        <v>444</v>
      </c>
      <c r="C53" s="13" t="s">
        <v>445</v>
      </c>
      <c r="D53" s="13" t="s">
        <v>446</v>
      </c>
      <c r="E53" s="13" t="s">
        <v>447</v>
      </c>
      <c r="F53" s="13" t="s">
        <v>448</v>
      </c>
    </row>
    <row r="54" spans="1:6" ht="15.6">
      <c r="A54" s="43" t="s">
        <v>144</v>
      </c>
      <c r="B54" s="13" t="s">
        <v>449</v>
      </c>
      <c r="C54" s="13" t="s">
        <v>450</v>
      </c>
      <c r="D54" s="13" t="s">
        <v>451</v>
      </c>
      <c r="E54" s="13" t="s">
        <v>452</v>
      </c>
      <c r="F54" s="13" t="s">
        <v>453</v>
      </c>
    </row>
    <row r="55" spans="1:6" ht="15.6">
      <c r="A55" s="43" t="s">
        <v>145</v>
      </c>
      <c r="B55" s="13" t="s">
        <v>454</v>
      </c>
      <c r="C55" s="13" t="s">
        <v>455</v>
      </c>
      <c r="D55" s="13" t="s">
        <v>456</v>
      </c>
      <c r="E55" s="13" t="s">
        <v>457</v>
      </c>
      <c r="F55" s="13" t="s">
        <v>458</v>
      </c>
    </row>
    <row r="56" spans="1:6" ht="15.6">
      <c r="A56" s="43" t="s">
        <v>146</v>
      </c>
      <c r="B56" s="13" t="s">
        <v>459</v>
      </c>
      <c r="C56" s="13" t="s">
        <v>460</v>
      </c>
      <c r="D56" s="13" t="s">
        <v>461</v>
      </c>
      <c r="E56" s="13" t="s">
        <v>462</v>
      </c>
      <c r="F56" s="13" t="s">
        <v>463</v>
      </c>
    </row>
    <row r="57" spans="1:6" ht="15.6">
      <c r="A57" s="43" t="s">
        <v>464</v>
      </c>
      <c r="B57" s="13" t="s">
        <v>465</v>
      </c>
      <c r="C57" s="13" t="s">
        <v>466</v>
      </c>
      <c r="D57" s="13" t="s">
        <v>467</v>
      </c>
      <c r="E57" s="13" t="s">
        <v>468</v>
      </c>
      <c r="F57" s="13" t="s">
        <v>469</v>
      </c>
    </row>
    <row r="58" spans="1:6" ht="15.6">
      <c r="A58" s="43" t="s">
        <v>179</v>
      </c>
      <c r="B58" s="13" t="s">
        <v>470</v>
      </c>
      <c r="C58" s="13" t="s">
        <v>471</v>
      </c>
      <c r="D58" s="13" t="s">
        <v>472</v>
      </c>
      <c r="E58" s="13" t="s">
        <v>473</v>
      </c>
      <c r="F58" s="13" t="s">
        <v>474</v>
      </c>
    </row>
    <row r="59" spans="1:6" ht="15.6">
      <c r="A59" s="43" t="s">
        <v>181</v>
      </c>
      <c r="B59" s="13" t="s">
        <v>475</v>
      </c>
      <c r="C59" s="13" t="s">
        <v>476</v>
      </c>
      <c r="D59" s="13" t="s">
        <v>477</v>
      </c>
      <c r="E59" s="13" t="s">
        <v>478</v>
      </c>
      <c r="F59" s="13" t="s">
        <v>479</v>
      </c>
    </row>
    <row r="60" spans="1:6" ht="15.6">
      <c r="A60" s="43" t="s">
        <v>183</v>
      </c>
      <c r="B60" s="13" t="s">
        <v>480</v>
      </c>
      <c r="C60" s="13" t="s">
        <v>481</v>
      </c>
      <c r="D60" s="13" t="s">
        <v>482</v>
      </c>
      <c r="E60" s="13" t="s">
        <v>483</v>
      </c>
      <c r="F60" s="13" t="s">
        <v>484</v>
      </c>
    </row>
    <row r="61" spans="1:6" ht="15.6">
      <c r="A61" s="43" t="s">
        <v>185</v>
      </c>
      <c r="B61" s="13" t="s">
        <v>485</v>
      </c>
      <c r="C61" s="13" t="s">
        <v>486</v>
      </c>
      <c r="D61" s="13" t="s">
        <v>487</v>
      </c>
      <c r="E61" s="13" t="s">
        <v>488</v>
      </c>
      <c r="F61" s="13" t="s">
        <v>489</v>
      </c>
    </row>
    <row r="62" spans="1:6" ht="15.6">
      <c r="A62" s="43" t="s">
        <v>490</v>
      </c>
      <c r="B62" s="13" t="s">
        <v>491</v>
      </c>
      <c r="C62" s="13" t="s">
        <v>492</v>
      </c>
      <c r="D62" s="13" t="s">
        <v>493</v>
      </c>
      <c r="E62" s="13" t="s">
        <v>494</v>
      </c>
      <c r="F62" s="13" t="s">
        <v>495</v>
      </c>
    </row>
    <row r="63" spans="1:6" ht="15.6">
      <c r="A63" s="43" t="s">
        <v>496</v>
      </c>
      <c r="B63" s="13" t="s">
        <v>497</v>
      </c>
      <c r="C63" s="13" t="s">
        <v>498</v>
      </c>
      <c r="D63" s="13" t="s">
        <v>499</v>
      </c>
      <c r="E63" s="13" t="s">
        <v>500</v>
      </c>
      <c r="F63" s="13" t="s">
        <v>501</v>
      </c>
    </row>
    <row r="64" spans="1:6" ht="15.6">
      <c r="A64" s="43" t="s">
        <v>502</v>
      </c>
      <c r="B64" s="13" t="s">
        <v>503</v>
      </c>
      <c r="C64" s="13" t="s">
        <v>504</v>
      </c>
      <c r="D64" s="13" t="s">
        <v>505</v>
      </c>
      <c r="E64" s="13" t="s">
        <v>506</v>
      </c>
      <c r="F64" s="13" t="s">
        <v>507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Tax Ratio</vt:lpstr>
      <vt:lpstr>Analisis + Kebutuhan Data</vt:lpstr>
      <vt:lpstr>Sumber Pertumbuhan Ekonomi</vt:lpstr>
      <vt:lpstr>Indeks Implisit</vt:lpstr>
      <vt:lpstr>Laju Implisit</vt:lpstr>
      <vt:lpstr>PDRB ADHK KabupatenKota</vt:lpstr>
      <vt:lpstr>PDRB ADHK</vt:lpstr>
      <vt:lpstr>PDRB ADHB</vt:lpstr>
      <vt:lpstr>Copy of PDRB ADHB</vt:lpstr>
      <vt:lpstr>PDRB PERKAPITA ADHK 2021-2025</vt:lpstr>
      <vt:lpstr>PDRB PERKAPITA ADHB 2021-2025</vt:lpstr>
      <vt:lpstr>Laju Pertumbuhan</vt:lpstr>
      <vt:lpstr>TIPOLOGI KLASSEN</vt:lpstr>
      <vt:lpstr>RASIO PERDAGANGAN INTERNASIONAL</vt:lpstr>
      <vt:lpstr>ICOR</vt:lpstr>
      <vt:lpstr>ILOR &amp; ETK</vt:lpstr>
      <vt:lpstr>Sheet19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 Victus</cp:lastModifiedBy>
  <dcterms:modified xsi:type="dcterms:W3CDTF">2026-09-15T12:38:53Z</dcterms:modified>
</cp:coreProperties>
</file>